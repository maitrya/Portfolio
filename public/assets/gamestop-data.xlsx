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33c756dbeab2f7/Documents/"/>
    </mc:Choice>
  </mc:AlternateContent>
  <xr:revisionPtr revIDLastSave="39" documentId="8_{0B4BA3F4-5484-4CA4-A6F5-68B910B9E226}" xr6:coauthVersionLast="47" xr6:coauthVersionMax="47" xr10:uidLastSave="{19BE262A-7D5D-4268-BCBC-64D23145E542}"/>
  <bookViews>
    <workbookView xWindow="-108" yWindow="-108" windowWidth="23256" windowHeight="12456" firstSheet="1" activeTab="1" xr2:uid="{FA2C9B1B-63DE-634D-A1E0-3190746AFA6C}"/>
  </bookViews>
  <sheets>
    <sheet name="GameStop Share Price" sheetId="2" r:id="rId1"/>
    <sheet name="NASDAQ Valu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" l="1"/>
  <c r="I13" i="3"/>
  <c r="I10" i="3"/>
  <c r="I9" i="3"/>
  <c r="J7" i="3"/>
  <c r="L1551" i="2"/>
  <c r="K1549" i="2"/>
  <c r="L1550" i="2"/>
  <c r="L1549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297" i="2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3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3" i="2"/>
  <c r="I11" i="3" l="1"/>
  <c r="I12" i="3" s="1"/>
  <c r="I14" i="3" s="1"/>
  <c r="J11" i="3" l="1"/>
  <c r="J12" i="3" s="1"/>
  <c r="J14" i="3" s="1"/>
  <c r="I15" i="3" s="1"/>
  <c r="I16" i="3" s="1"/>
</calcChain>
</file>

<file path=xl/sharedStrings.xml><?xml version="1.0" encoding="utf-8"?>
<sst xmlns="http://schemas.openxmlformats.org/spreadsheetml/2006/main" count="19" uniqueCount="12">
  <si>
    <t>Date</t>
  </si>
  <si>
    <t>Open</t>
  </si>
  <si>
    <t>High</t>
  </si>
  <si>
    <t>Low</t>
  </si>
  <si>
    <t>Close</t>
  </si>
  <si>
    <t>Adj Close</t>
  </si>
  <si>
    <t>Volume</t>
  </si>
  <si>
    <t>S</t>
  </si>
  <si>
    <t>SIGMA</t>
  </si>
  <si>
    <t>K</t>
  </si>
  <si>
    <t>RF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</si>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</sst>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_(* #,##0_);_(* \(#,##0\);_(* &quot;-&quot;??_);_(@_)"/>
    <numFmt numFmtId="168" formatCode="d/m/yy;@"/>
    <numFmt numFmtId="170" formatCode="0.00000000000000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167" fontId="0" fillId="0" borderId="0" xfId="1" applyNumberFormat="1" applyFont="1"/>
    <xf numFmtId="168" fontId="0" fillId="0" borderId="0" xfId="0" applyNumberFormat="1"/>
    <xf numFmtId="2" fontId="0" fillId="0" borderId="0" xfId="0" applyNumberFormat="1"/>
    <xf numFmtId="9" fontId="0" fillId="0" borderId="0" xfId="0" applyNumberFormat="1"/>
    <xf numFmtId="17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4D0-01C4-BF48-99A9-C3AF19CB3712}">
  <dimension ref="A1:L1579"/>
  <sheetViews>
    <sheetView topLeftCell="A1528" zoomScale="70" zoomScaleNormal="70" workbookViewId="0">
      <selection activeCell="L1551" sqref="L1551"/>
    </sheetView>
  </sheetViews>
  <sheetFormatPr defaultColWidth="11.19921875" defaultRowHeight="15.6" x14ac:dyDescent="0.3"/>
  <cols>
    <col min="1" max="1" width="10.796875" style="1"/>
    <col min="2" max="5" width="10.796875" style="2"/>
    <col min="6" max="6" width="10.796875" style="3"/>
    <col min="7" max="7" width="12.5" style="4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8" x14ac:dyDescent="0.3">
      <c r="A2" s="1">
        <v>42006</v>
      </c>
      <c r="B2" s="2">
        <v>34.060001</v>
      </c>
      <c r="C2" s="2">
        <v>34.159999999999997</v>
      </c>
      <c r="D2" s="2">
        <v>33.25</v>
      </c>
      <c r="E2" s="2">
        <v>33.799999</v>
      </c>
      <c r="F2" s="3">
        <v>25.155836000000001</v>
      </c>
      <c r="G2" s="4">
        <v>1612700</v>
      </c>
    </row>
    <row r="3" spans="1:8" x14ac:dyDescent="0.3">
      <c r="A3" s="1">
        <v>42009</v>
      </c>
      <c r="B3" s="2">
        <v>33.520000000000003</v>
      </c>
      <c r="C3" s="2">
        <v>34.880001</v>
      </c>
      <c r="D3" s="2">
        <v>33.330002</v>
      </c>
      <c r="E3" s="2">
        <v>34.720001000000003</v>
      </c>
      <c r="F3" s="3">
        <v>25.840551000000001</v>
      </c>
      <c r="G3" s="4">
        <v>4934900</v>
      </c>
      <c r="H3">
        <f>LN(E3/E2)</f>
        <v>2.6855145690818594E-2</v>
      </c>
    </row>
    <row r="4" spans="1:8" x14ac:dyDescent="0.3">
      <c r="A4" s="1">
        <v>42010</v>
      </c>
      <c r="B4" s="2">
        <v>35.169998</v>
      </c>
      <c r="C4" s="2">
        <v>36.029998999999997</v>
      </c>
      <c r="D4" s="2">
        <v>33.520000000000003</v>
      </c>
      <c r="E4" s="2">
        <v>33.689999</v>
      </c>
      <c r="F4" s="3">
        <v>25.073961000000001</v>
      </c>
      <c r="G4" s="4">
        <v>4885100</v>
      </c>
      <c r="H4">
        <f t="shared" ref="H4:H67" si="0">LN(E4/E3)</f>
        <v>-3.0114890857929729E-2</v>
      </c>
    </row>
    <row r="5" spans="1:8" x14ac:dyDescent="0.3">
      <c r="A5" s="1">
        <v>42011</v>
      </c>
      <c r="B5" s="2">
        <v>34.290000999999997</v>
      </c>
      <c r="C5" s="2">
        <v>34.68</v>
      </c>
      <c r="D5" s="2">
        <v>32.979999999999997</v>
      </c>
      <c r="E5" s="2">
        <v>33.299999</v>
      </c>
      <c r="F5" s="3">
        <v>24.783702999999999</v>
      </c>
      <c r="G5" s="4">
        <v>2558300</v>
      </c>
      <c r="H5">
        <f t="shared" si="0"/>
        <v>-1.1643660779695053E-2</v>
      </c>
    </row>
    <row r="6" spans="1:8" x14ac:dyDescent="0.3">
      <c r="A6" s="1">
        <v>42012</v>
      </c>
      <c r="B6" s="2">
        <v>33.599997999999999</v>
      </c>
      <c r="C6" s="2">
        <v>34.169998</v>
      </c>
      <c r="D6" s="2">
        <v>33.32</v>
      </c>
      <c r="E6" s="2">
        <v>33.689999</v>
      </c>
      <c r="F6" s="3">
        <v>25.073961000000001</v>
      </c>
      <c r="G6" s="4">
        <v>4547400</v>
      </c>
      <c r="H6">
        <f t="shared" si="0"/>
        <v>1.1643660779694991E-2</v>
      </c>
    </row>
    <row r="7" spans="1:8" x14ac:dyDescent="0.3">
      <c r="A7" s="1">
        <v>42013</v>
      </c>
      <c r="B7" s="2">
        <v>33.590000000000003</v>
      </c>
      <c r="C7" s="2">
        <v>33.709999000000003</v>
      </c>
      <c r="D7" s="2">
        <v>32.090000000000003</v>
      </c>
      <c r="E7" s="2">
        <v>32.270000000000003</v>
      </c>
      <c r="F7" s="3">
        <v>24.017122000000001</v>
      </c>
      <c r="G7" s="4">
        <v>4074900</v>
      </c>
      <c r="H7">
        <f t="shared" si="0"/>
        <v>-4.3063021672192177E-2</v>
      </c>
    </row>
    <row r="8" spans="1:8" x14ac:dyDescent="0.3">
      <c r="A8" s="1">
        <v>42016</v>
      </c>
      <c r="B8" s="2">
        <v>32.549999</v>
      </c>
      <c r="C8" s="2">
        <v>33.840000000000003</v>
      </c>
      <c r="D8" s="2">
        <v>31.690000999999999</v>
      </c>
      <c r="E8" s="2">
        <v>33.770000000000003</v>
      </c>
      <c r="F8" s="3">
        <v>25.133509</v>
      </c>
      <c r="G8" s="4">
        <v>3620500</v>
      </c>
      <c r="H8">
        <f t="shared" si="0"/>
        <v>4.5434828333605841E-2</v>
      </c>
    </row>
    <row r="9" spans="1:8" x14ac:dyDescent="0.3">
      <c r="A9" s="1">
        <v>42017</v>
      </c>
      <c r="B9" s="2">
        <v>34.200001</v>
      </c>
      <c r="C9" s="2">
        <v>35.099997999999999</v>
      </c>
      <c r="D9" s="2">
        <v>32.700001</v>
      </c>
      <c r="E9" s="2">
        <v>32.770000000000003</v>
      </c>
      <c r="F9" s="3">
        <v>24.389254000000001</v>
      </c>
      <c r="G9" s="4">
        <v>2932300</v>
      </c>
      <c r="H9">
        <f t="shared" si="0"/>
        <v>-3.0059371686753125E-2</v>
      </c>
    </row>
    <row r="10" spans="1:8" x14ac:dyDescent="0.3">
      <c r="A10" s="1">
        <v>42018</v>
      </c>
      <c r="B10" s="2">
        <v>37.200001</v>
      </c>
      <c r="C10" s="2">
        <v>37.349997999999999</v>
      </c>
      <c r="D10" s="2">
        <v>35.840000000000003</v>
      </c>
      <c r="E10" s="2">
        <v>36.209999000000003</v>
      </c>
      <c r="F10" s="3">
        <v>26.949487999999999</v>
      </c>
      <c r="G10" s="4">
        <v>7436600</v>
      </c>
      <c r="H10">
        <f t="shared" si="0"/>
        <v>9.9821833450145711E-2</v>
      </c>
    </row>
    <row r="11" spans="1:8" x14ac:dyDescent="0.3">
      <c r="A11" s="1">
        <v>42019</v>
      </c>
      <c r="B11" s="2">
        <v>36.029998999999997</v>
      </c>
      <c r="C11" s="2">
        <v>36.75</v>
      </c>
      <c r="D11" s="2">
        <v>34.220001000000003</v>
      </c>
      <c r="E11" s="2">
        <v>34.459999000000003</v>
      </c>
      <c r="F11" s="3">
        <v>25.647041000000002</v>
      </c>
      <c r="G11" s="4">
        <v>5139200</v>
      </c>
      <c r="H11">
        <f t="shared" si="0"/>
        <v>-4.9536094080238409E-2</v>
      </c>
    </row>
    <row r="12" spans="1:8" x14ac:dyDescent="0.3">
      <c r="A12" s="1">
        <v>42020</v>
      </c>
      <c r="B12" s="2">
        <v>35.689999</v>
      </c>
      <c r="C12" s="2">
        <v>36.409999999999997</v>
      </c>
      <c r="D12" s="2">
        <v>34.919998</v>
      </c>
      <c r="E12" s="2">
        <v>36.349997999999999</v>
      </c>
      <c r="F12" s="3">
        <v>27.053684000000001</v>
      </c>
      <c r="G12" s="4">
        <v>4256800</v>
      </c>
      <c r="H12">
        <f t="shared" si="0"/>
        <v>5.3394946878263495E-2</v>
      </c>
    </row>
    <row r="13" spans="1:8" x14ac:dyDescent="0.3">
      <c r="A13" s="1">
        <v>42024</v>
      </c>
      <c r="B13" s="2">
        <v>36.330002</v>
      </c>
      <c r="C13" s="2">
        <v>36.75</v>
      </c>
      <c r="D13" s="2">
        <v>35.209999000000003</v>
      </c>
      <c r="E13" s="2">
        <v>36.07</v>
      </c>
      <c r="F13" s="3">
        <v>26.845295</v>
      </c>
      <c r="G13" s="4">
        <v>4536600</v>
      </c>
      <c r="H13">
        <f t="shared" si="0"/>
        <v>-7.7326540434464299E-3</v>
      </c>
    </row>
    <row r="14" spans="1:8" x14ac:dyDescent="0.3">
      <c r="A14" s="1">
        <v>42025</v>
      </c>
      <c r="B14" s="2">
        <v>35.669998</v>
      </c>
      <c r="C14" s="2">
        <v>37.099997999999999</v>
      </c>
      <c r="D14" s="2">
        <v>35.470001000000003</v>
      </c>
      <c r="E14" s="2">
        <v>36.840000000000003</v>
      </c>
      <c r="F14" s="3">
        <v>27.418368999999998</v>
      </c>
      <c r="G14" s="4">
        <v>2965600</v>
      </c>
      <c r="H14">
        <f t="shared" si="0"/>
        <v>2.1122716471658493E-2</v>
      </c>
    </row>
    <row r="15" spans="1:8" x14ac:dyDescent="0.3">
      <c r="A15" s="1">
        <v>42026</v>
      </c>
      <c r="B15" s="2">
        <v>37.240001999999997</v>
      </c>
      <c r="C15" s="2">
        <v>37.240001999999997</v>
      </c>
      <c r="D15" s="2">
        <v>36.150002000000001</v>
      </c>
      <c r="E15" s="2">
        <v>37.119999</v>
      </c>
      <c r="F15" s="3">
        <v>27.626753000000001</v>
      </c>
      <c r="G15" s="4">
        <v>2155300</v>
      </c>
      <c r="H15">
        <f t="shared" si="0"/>
        <v>7.5716695912381726E-3</v>
      </c>
    </row>
    <row r="16" spans="1:8" x14ac:dyDescent="0.3">
      <c r="A16" s="1">
        <v>42027</v>
      </c>
      <c r="B16" s="2">
        <v>36.950001</v>
      </c>
      <c r="C16" s="2">
        <v>37.5</v>
      </c>
      <c r="D16" s="2">
        <v>36.43</v>
      </c>
      <c r="E16" s="2">
        <v>37.400002000000001</v>
      </c>
      <c r="F16" s="3">
        <v>27.835156999999999</v>
      </c>
      <c r="G16" s="4">
        <v>1800500</v>
      </c>
      <c r="H16">
        <f t="shared" si="0"/>
        <v>7.514876918076294E-3</v>
      </c>
    </row>
    <row r="17" spans="1:8" x14ac:dyDescent="0.3">
      <c r="A17" s="1">
        <v>42030</v>
      </c>
      <c r="B17" s="2">
        <v>37.389999000000003</v>
      </c>
      <c r="C17" s="2">
        <v>38.459999000000003</v>
      </c>
      <c r="D17" s="2">
        <v>37.270000000000003</v>
      </c>
      <c r="E17" s="2">
        <v>38.159999999999997</v>
      </c>
      <c r="F17" s="3">
        <v>28.400784000000002</v>
      </c>
      <c r="G17" s="4">
        <v>2426500</v>
      </c>
      <c r="H17">
        <f t="shared" si="0"/>
        <v>2.0117088683664998E-2</v>
      </c>
    </row>
    <row r="18" spans="1:8" x14ac:dyDescent="0.3">
      <c r="A18" s="1">
        <v>42031</v>
      </c>
      <c r="B18" s="2">
        <v>38.139999000000003</v>
      </c>
      <c r="C18" s="2">
        <v>39</v>
      </c>
      <c r="D18" s="2">
        <v>37.590000000000003</v>
      </c>
      <c r="E18" s="2">
        <v>38.279998999999997</v>
      </c>
      <c r="F18" s="3">
        <v>28.490096999999999</v>
      </c>
      <c r="G18" s="4">
        <v>2007000</v>
      </c>
      <c r="H18">
        <f t="shared" si="0"/>
        <v>3.1396938813653338E-3</v>
      </c>
    </row>
    <row r="19" spans="1:8" x14ac:dyDescent="0.3">
      <c r="A19" s="1">
        <v>42032</v>
      </c>
      <c r="B19" s="2">
        <v>38.5</v>
      </c>
      <c r="C19" s="2">
        <v>39.299999</v>
      </c>
      <c r="D19" s="2">
        <v>37.439999</v>
      </c>
      <c r="E19" s="2">
        <v>37.610000999999997</v>
      </c>
      <c r="F19" s="3">
        <v>27.991447000000001</v>
      </c>
      <c r="G19" s="4">
        <v>2752300</v>
      </c>
      <c r="H19">
        <f t="shared" si="0"/>
        <v>-1.7657541390533275E-2</v>
      </c>
    </row>
    <row r="20" spans="1:8" x14ac:dyDescent="0.3">
      <c r="A20" s="1">
        <v>42033</v>
      </c>
      <c r="B20" s="2">
        <v>37.82</v>
      </c>
      <c r="C20" s="2">
        <v>37.82</v>
      </c>
      <c r="D20" s="2">
        <v>35.470001000000003</v>
      </c>
      <c r="E20" s="2">
        <v>36.270000000000003</v>
      </c>
      <c r="F20" s="3">
        <v>26.994140999999999</v>
      </c>
      <c r="G20" s="4">
        <v>3390600</v>
      </c>
      <c r="H20">
        <f t="shared" si="0"/>
        <v>-3.6279045776106696E-2</v>
      </c>
    </row>
    <row r="21" spans="1:8" x14ac:dyDescent="0.3">
      <c r="A21" s="1">
        <v>42034</v>
      </c>
      <c r="B21" s="2">
        <v>35.840000000000003</v>
      </c>
      <c r="C21" s="2">
        <v>36.099997999999999</v>
      </c>
      <c r="D21" s="2">
        <v>35.060001</v>
      </c>
      <c r="E21" s="2">
        <v>35.25</v>
      </c>
      <c r="F21" s="3">
        <v>26.235005999999998</v>
      </c>
      <c r="G21" s="4">
        <v>3034800</v>
      </c>
      <c r="H21">
        <f t="shared" si="0"/>
        <v>-2.8525424036533381E-2</v>
      </c>
    </row>
    <row r="22" spans="1:8" x14ac:dyDescent="0.3">
      <c r="A22" s="1">
        <v>42037</v>
      </c>
      <c r="B22" s="2">
        <v>35.110000999999997</v>
      </c>
      <c r="C22" s="2">
        <v>36.93</v>
      </c>
      <c r="D22" s="2">
        <v>34.520000000000003</v>
      </c>
      <c r="E22" s="2">
        <v>36.830002</v>
      </c>
      <c r="F22" s="3">
        <v>27.410928999999999</v>
      </c>
      <c r="G22" s="4">
        <v>2426300</v>
      </c>
      <c r="H22">
        <f t="shared" si="0"/>
        <v>4.3847255502251763E-2</v>
      </c>
    </row>
    <row r="23" spans="1:8" x14ac:dyDescent="0.3">
      <c r="A23" s="1">
        <v>42038</v>
      </c>
      <c r="B23" s="2">
        <v>36.790000999999997</v>
      </c>
      <c r="C23" s="2">
        <v>37.919998</v>
      </c>
      <c r="D23" s="2">
        <v>36.389999000000003</v>
      </c>
      <c r="E23" s="2">
        <v>37.5</v>
      </c>
      <c r="F23" s="3">
        <v>27.909579999999998</v>
      </c>
      <c r="G23" s="4">
        <v>1461600</v>
      </c>
      <c r="H23">
        <f t="shared" si="0"/>
        <v>1.8028148215835805E-2</v>
      </c>
    </row>
    <row r="24" spans="1:8" x14ac:dyDescent="0.3">
      <c r="A24" s="1">
        <v>42039</v>
      </c>
      <c r="B24" s="2">
        <v>37.169998</v>
      </c>
      <c r="C24" s="2">
        <v>37.419998</v>
      </c>
      <c r="D24" s="2">
        <v>35.659999999999997</v>
      </c>
      <c r="E24" s="2">
        <v>36.630001</v>
      </c>
      <c r="F24" s="3">
        <v>27.262080999999998</v>
      </c>
      <c r="G24" s="4">
        <v>2038100</v>
      </c>
      <c r="H24">
        <f t="shared" si="0"/>
        <v>-2.3473328885615215E-2</v>
      </c>
    </row>
    <row r="25" spans="1:8" x14ac:dyDescent="0.3">
      <c r="A25" s="1">
        <v>42040</v>
      </c>
      <c r="B25" s="2">
        <v>36.740001999999997</v>
      </c>
      <c r="C25" s="2">
        <v>37.279998999999997</v>
      </c>
      <c r="D25" s="2">
        <v>36.259998000000003</v>
      </c>
      <c r="E25" s="2">
        <v>36.700001</v>
      </c>
      <c r="F25" s="3">
        <v>27.314174999999999</v>
      </c>
      <c r="G25" s="4">
        <v>1363100</v>
      </c>
      <c r="H25">
        <f t="shared" si="0"/>
        <v>1.9091782177307101E-3</v>
      </c>
    </row>
    <row r="26" spans="1:8" x14ac:dyDescent="0.3">
      <c r="A26" s="1">
        <v>42041</v>
      </c>
      <c r="B26" s="2">
        <v>36.959999000000003</v>
      </c>
      <c r="C26" s="2">
        <v>37.389999000000003</v>
      </c>
      <c r="D26" s="2">
        <v>36.439999</v>
      </c>
      <c r="E26" s="2">
        <v>36.759998000000003</v>
      </c>
      <c r="F26" s="3">
        <v>27.358829</v>
      </c>
      <c r="G26" s="4">
        <v>1482300</v>
      </c>
      <c r="H26">
        <f t="shared" si="0"/>
        <v>1.6334607720402518E-3</v>
      </c>
    </row>
    <row r="27" spans="1:8" x14ac:dyDescent="0.3">
      <c r="A27" s="1">
        <v>42044</v>
      </c>
      <c r="B27" s="2">
        <v>36.540000999999997</v>
      </c>
      <c r="C27" s="2">
        <v>37.580002</v>
      </c>
      <c r="D27" s="2">
        <v>36.520000000000003</v>
      </c>
      <c r="E27" s="2">
        <v>37.18</v>
      </c>
      <c r="F27" s="3">
        <v>27.671415</v>
      </c>
      <c r="G27" s="4">
        <v>1556500</v>
      </c>
      <c r="H27">
        <f t="shared" si="0"/>
        <v>1.1360739212777062E-2</v>
      </c>
    </row>
    <row r="28" spans="1:8" x14ac:dyDescent="0.3">
      <c r="A28" s="1">
        <v>42045</v>
      </c>
      <c r="B28" s="2">
        <v>37.189999</v>
      </c>
      <c r="C28" s="2">
        <v>38.130001</v>
      </c>
      <c r="D28" s="2">
        <v>37.009998000000003</v>
      </c>
      <c r="E28" s="2">
        <v>38.040000999999997</v>
      </c>
      <c r="F28" s="3">
        <v>28.311478000000001</v>
      </c>
      <c r="G28" s="4">
        <v>2434400</v>
      </c>
      <c r="H28">
        <f t="shared" si="0"/>
        <v>2.2867281672008879E-2</v>
      </c>
    </row>
    <row r="29" spans="1:8" x14ac:dyDescent="0.3">
      <c r="A29" s="1">
        <v>42046</v>
      </c>
      <c r="B29" s="2">
        <v>38.080002</v>
      </c>
      <c r="C29" s="2">
        <v>38.189999</v>
      </c>
      <c r="D29" s="2">
        <v>37.259998000000003</v>
      </c>
      <c r="E29" s="2">
        <v>37.520000000000003</v>
      </c>
      <c r="F29" s="3">
        <v>27.924462999999999</v>
      </c>
      <c r="G29" s="4">
        <v>1479800</v>
      </c>
      <c r="H29">
        <f t="shared" si="0"/>
        <v>-1.3764139827282888E-2</v>
      </c>
    </row>
    <row r="30" spans="1:8" x14ac:dyDescent="0.3">
      <c r="A30" s="1">
        <v>42047</v>
      </c>
      <c r="B30" s="2">
        <v>37.599997999999999</v>
      </c>
      <c r="C30" s="2">
        <v>37.770000000000003</v>
      </c>
      <c r="D30" s="2">
        <v>37</v>
      </c>
      <c r="E30" s="2">
        <v>37.25</v>
      </c>
      <c r="F30" s="3">
        <v>27.723514999999999</v>
      </c>
      <c r="G30" s="4">
        <v>1230900</v>
      </c>
      <c r="H30">
        <f t="shared" si="0"/>
        <v>-7.2221793124555159E-3</v>
      </c>
    </row>
    <row r="31" spans="1:8" x14ac:dyDescent="0.3">
      <c r="A31" s="1">
        <v>42048</v>
      </c>
      <c r="B31" s="2">
        <v>37.040000999999997</v>
      </c>
      <c r="C31" s="2">
        <v>37.900002000000001</v>
      </c>
      <c r="D31" s="2">
        <v>36.869999</v>
      </c>
      <c r="E31" s="2">
        <v>37.349997999999999</v>
      </c>
      <c r="F31" s="3">
        <v>27.797937000000001</v>
      </c>
      <c r="G31" s="4">
        <v>1664700</v>
      </c>
      <c r="H31">
        <f t="shared" si="0"/>
        <v>2.6809132057328462E-3</v>
      </c>
    </row>
    <row r="32" spans="1:8" x14ac:dyDescent="0.3">
      <c r="A32" s="1">
        <v>42052</v>
      </c>
      <c r="B32" s="2">
        <v>37.349997999999999</v>
      </c>
      <c r="C32" s="2">
        <v>38.209999000000003</v>
      </c>
      <c r="D32" s="2">
        <v>36.799999</v>
      </c>
      <c r="E32" s="2">
        <v>37.360000999999997</v>
      </c>
      <c r="F32" s="3">
        <v>27.805384</v>
      </c>
      <c r="G32" s="4">
        <v>1355100</v>
      </c>
      <c r="H32">
        <f t="shared" si="0"/>
        <v>2.6778209593533215E-4</v>
      </c>
    </row>
    <row r="33" spans="1:8" x14ac:dyDescent="0.3">
      <c r="A33" s="1">
        <v>42053</v>
      </c>
      <c r="B33" s="2">
        <v>36.990001999999997</v>
      </c>
      <c r="C33" s="2">
        <v>37.549999</v>
      </c>
      <c r="D33" s="2">
        <v>36.599997999999999</v>
      </c>
      <c r="E33" s="2">
        <v>37.5</v>
      </c>
      <c r="F33" s="3">
        <v>27.909579999999998</v>
      </c>
      <c r="G33" s="4">
        <v>1049900</v>
      </c>
      <c r="H33">
        <f t="shared" si="0"/>
        <v>3.7402928491283077E-3</v>
      </c>
    </row>
    <row r="34" spans="1:8" x14ac:dyDescent="0.3">
      <c r="A34" s="1">
        <v>42054</v>
      </c>
      <c r="B34" s="2">
        <v>37.689999</v>
      </c>
      <c r="C34" s="2">
        <v>37.689999</v>
      </c>
      <c r="D34" s="2">
        <v>37.049999</v>
      </c>
      <c r="E34" s="2">
        <v>37.529998999999997</v>
      </c>
      <c r="F34" s="3">
        <v>27.931902000000001</v>
      </c>
      <c r="G34" s="4">
        <v>774000</v>
      </c>
      <c r="H34">
        <f t="shared" si="0"/>
        <v>7.9965352521351677E-4</v>
      </c>
    </row>
    <row r="35" spans="1:8" x14ac:dyDescent="0.3">
      <c r="A35" s="1">
        <v>42055</v>
      </c>
      <c r="B35" s="2">
        <v>37.659999999999997</v>
      </c>
      <c r="C35" s="2">
        <v>38.040000999999997</v>
      </c>
      <c r="D35" s="2">
        <v>37.409999999999997</v>
      </c>
      <c r="E35" s="2">
        <v>37.490001999999997</v>
      </c>
      <c r="F35" s="3">
        <v>27.902135999999999</v>
      </c>
      <c r="G35" s="4">
        <v>1295900</v>
      </c>
      <c r="H35">
        <f t="shared" si="0"/>
        <v>-1.066302406200112E-3</v>
      </c>
    </row>
    <row r="36" spans="1:8" x14ac:dyDescent="0.3">
      <c r="A36" s="1">
        <v>42058</v>
      </c>
      <c r="B36" s="2">
        <v>37.939999</v>
      </c>
      <c r="C36" s="2">
        <v>37.990001999999997</v>
      </c>
      <c r="D36" s="2">
        <v>37.009998000000003</v>
      </c>
      <c r="E36" s="2">
        <v>37.349997999999999</v>
      </c>
      <c r="F36" s="3">
        <v>27.797937000000001</v>
      </c>
      <c r="G36" s="4">
        <v>1150400</v>
      </c>
      <c r="H36">
        <f t="shared" si="0"/>
        <v>-3.741426064077096E-3</v>
      </c>
    </row>
    <row r="37" spans="1:8" x14ac:dyDescent="0.3">
      <c r="A37" s="1">
        <v>42059</v>
      </c>
      <c r="B37" s="2">
        <v>37.659999999999997</v>
      </c>
      <c r="C37" s="2">
        <v>37.790000999999997</v>
      </c>
      <c r="D37" s="2">
        <v>36.909999999999997</v>
      </c>
      <c r="E37" s="2">
        <v>37.139999000000003</v>
      </c>
      <c r="F37" s="3">
        <v>27.641646999999999</v>
      </c>
      <c r="G37" s="4">
        <v>751800</v>
      </c>
      <c r="H37">
        <f t="shared" si="0"/>
        <v>-5.6383290318900957E-3</v>
      </c>
    </row>
    <row r="38" spans="1:8" x14ac:dyDescent="0.3">
      <c r="A38" s="1">
        <v>42060</v>
      </c>
      <c r="B38" s="2">
        <v>37.349997999999999</v>
      </c>
      <c r="C38" s="2">
        <v>37.82</v>
      </c>
      <c r="D38" s="2">
        <v>36.919998</v>
      </c>
      <c r="E38" s="2">
        <v>37.279998999999997</v>
      </c>
      <c r="F38" s="3">
        <v>27.745842</v>
      </c>
      <c r="G38" s="4">
        <v>1018500</v>
      </c>
      <c r="H38">
        <f t="shared" si="0"/>
        <v>3.7624339939443634E-3</v>
      </c>
    </row>
    <row r="39" spans="1:8" x14ac:dyDescent="0.3">
      <c r="A39" s="1">
        <v>42061</v>
      </c>
      <c r="B39" s="2">
        <v>37.25</v>
      </c>
      <c r="C39" s="2">
        <v>37.479999999999997</v>
      </c>
      <c r="D39" s="2">
        <v>36.830002</v>
      </c>
      <c r="E39" s="2">
        <v>37.029998999999997</v>
      </c>
      <c r="F39" s="3">
        <v>27.559775999999999</v>
      </c>
      <c r="G39" s="4">
        <v>1139800</v>
      </c>
      <c r="H39">
        <f t="shared" si="0"/>
        <v>-6.7285950729657554E-3</v>
      </c>
    </row>
    <row r="40" spans="1:8" x14ac:dyDescent="0.3">
      <c r="A40" s="1">
        <v>42062</v>
      </c>
      <c r="B40" s="2">
        <v>37.110000999999997</v>
      </c>
      <c r="C40" s="2">
        <v>37.720001000000003</v>
      </c>
      <c r="D40" s="2">
        <v>36.689999</v>
      </c>
      <c r="E40" s="2">
        <v>36.970001000000003</v>
      </c>
      <c r="F40" s="3">
        <v>27.515122999999999</v>
      </c>
      <c r="G40" s="4">
        <v>1462700</v>
      </c>
      <c r="H40">
        <f t="shared" si="0"/>
        <v>-1.621567922891019E-3</v>
      </c>
    </row>
    <row r="41" spans="1:8" x14ac:dyDescent="0.3">
      <c r="A41" s="1">
        <v>42065</v>
      </c>
      <c r="B41" s="2">
        <v>36.970001000000003</v>
      </c>
      <c r="C41" s="2">
        <v>38.900002000000001</v>
      </c>
      <c r="D41" s="2">
        <v>36.970001000000003</v>
      </c>
      <c r="E41" s="2">
        <v>38.669998</v>
      </c>
      <c r="F41" s="3">
        <v>28.780353999999999</v>
      </c>
      <c r="G41" s="4">
        <v>2397500</v>
      </c>
      <c r="H41">
        <f t="shared" si="0"/>
        <v>4.4957253902026227E-2</v>
      </c>
    </row>
    <row r="42" spans="1:8" x14ac:dyDescent="0.3">
      <c r="A42" s="1">
        <v>42066</v>
      </c>
      <c r="B42" s="2">
        <v>38.959999000000003</v>
      </c>
      <c r="C42" s="2">
        <v>39.25</v>
      </c>
      <c r="D42" s="2">
        <v>38.540000999999997</v>
      </c>
      <c r="E42" s="2">
        <v>38.68</v>
      </c>
      <c r="F42" s="3">
        <v>28.787804000000001</v>
      </c>
      <c r="G42" s="4">
        <v>1177400</v>
      </c>
      <c r="H42">
        <f t="shared" si="0"/>
        <v>2.5861668556853448E-4</v>
      </c>
    </row>
    <row r="43" spans="1:8" x14ac:dyDescent="0.3">
      <c r="A43" s="1">
        <v>42067</v>
      </c>
      <c r="B43" s="2">
        <v>39.18</v>
      </c>
      <c r="C43" s="2">
        <v>40.450001</v>
      </c>
      <c r="D43" s="2">
        <v>38.720001000000003</v>
      </c>
      <c r="E43" s="2">
        <v>40.029998999999997</v>
      </c>
      <c r="F43" s="3">
        <v>29.792546999999999</v>
      </c>
      <c r="G43" s="4">
        <v>2094800</v>
      </c>
      <c r="H43">
        <f t="shared" si="0"/>
        <v>3.4306477438124268E-2</v>
      </c>
    </row>
    <row r="44" spans="1:8" x14ac:dyDescent="0.3">
      <c r="A44" s="1">
        <v>42068</v>
      </c>
      <c r="B44" s="2">
        <v>39.979999999999997</v>
      </c>
      <c r="C44" s="2">
        <v>40.560001</v>
      </c>
      <c r="D44" s="2">
        <v>39.529998999999997</v>
      </c>
      <c r="E44" s="2">
        <v>40</v>
      </c>
      <c r="F44" s="3">
        <v>29.770218</v>
      </c>
      <c r="G44" s="4">
        <v>1214300</v>
      </c>
      <c r="H44">
        <f t="shared" si="0"/>
        <v>-7.4969390928150248E-4</v>
      </c>
    </row>
    <row r="45" spans="1:8" x14ac:dyDescent="0.3">
      <c r="A45" s="1">
        <v>42069</v>
      </c>
      <c r="B45" s="2">
        <v>39.82</v>
      </c>
      <c r="C45" s="2">
        <v>40.580002</v>
      </c>
      <c r="D45" s="2">
        <v>39.82</v>
      </c>
      <c r="E45" s="2">
        <v>40.159999999999997</v>
      </c>
      <c r="F45" s="3">
        <v>29.889305</v>
      </c>
      <c r="G45" s="4">
        <v>1185500</v>
      </c>
      <c r="H45">
        <f t="shared" si="0"/>
        <v>3.9920212695374567E-3</v>
      </c>
    </row>
    <row r="46" spans="1:8" x14ac:dyDescent="0.3">
      <c r="A46" s="1">
        <v>42072</v>
      </c>
      <c r="B46" s="2">
        <v>40.119999</v>
      </c>
      <c r="C46" s="2">
        <v>41.470001000000003</v>
      </c>
      <c r="D46" s="2">
        <v>39.810001</v>
      </c>
      <c r="E46" s="2">
        <v>40.830002</v>
      </c>
      <c r="F46" s="3">
        <v>30.387951000000001</v>
      </c>
      <c r="G46" s="4">
        <v>1538100</v>
      </c>
      <c r="H46">
        <f t="shared" si="0"/>
        <v>1.6545678931599982E-2</v>
      </c>
    </row>
    <row r="47" spans="1:8" x14ac:dyDescent="0.3">
      <c r="A47" s="1">
        <v>42073</v>
      </c>
      <c r="B47" s="2">
        <v>40.529998999999997</v>
      </c>
      <c r="C47" s="2">
        <v>41.16</v>
      </c>
      <c r="D47" s="2">
        <v>40.110000999999997</v>
      </c>
      <c r="E47" s="2">
        <v>40.650002000000001</v>
      </c>
      <c r="F47" s="3">
        <v>30.253990000000002</v>
      </c>
      <c r="G47" s="4">
        <v>1493100</v>
      </c>
      <c r="H47">
        <f t="shared" si="0"/>
        <v>-4.4182691207633002E-3</v>
      </c>
    </row>
    <row r="48" spans="1:8" x14ac:dyDescent="0.3">
      <c r="A48" s="1">
        <v>42074</v>
      </c>
      <c r="B48" s="2">
        <v>41.299999</v>
      </c>
      <c r="C48" s="2">
        <v>42.669998</v>
      </c>
      <c r="D48" s="2">
        <v>39.119999</v>
      </c>
      <c r="E48" s="2">
        <v>39.479999999999997</v>
      </c>
      <c r="F48" s="3">
        <v>29.383203999999999</v>
      </c>
      <c r="G48" s="4">
        <v>1909100</v>
      </c>
      <c r="H48">
        <f t="shared" si="0"/>
        <v>-2.9204670629029688E-2</v>
      </c>
    </row>
    <row r="49" spans="1:8" x14ac:dyDescent="0.3">
      <c r="A49" s="1">
        <v>42075</v>
      </c>
      <c r="B49" s="2">
        <v>39.950001</v>
      </c>
      <c r="C49" s="2">
        <v>40.209999000000003</v>
      </c>
      <c r="D49" s="2">
        <v>39.060001</v>
      </c>
      <c r="E49" s="2">
        <v>39.68</v>
      </c>
      <c r="F49" s="3">
        <v>29.532059</v>
      </c>
      <c r="G49" s="4">
        <v>1132900</v>
      </c>
      <c r="H49">
        <f t="shared" si="0"/>
        <v>5.0530678513912011E-3</v>
      </c>
    </row>
    <row r="50" spans="1:8" x14ac:dyDescent="0.3">
      <c r="A50" s="1">
        <v>42076</v>
      </c>
      <c r="B50" s="2">
        <v>40.240001999999997</v>
      </c>
      <c r="C50" s="2">
        <v>40.889999000000003</v>
      </c>
      <c r="D50" s="2">
        <v>39.959999000000003</v>
      </c>
      <c r="E50" s="2">
        <v>40.700001</v>
      </c>
      <c r="F50" s="3">
        <v>30.568532999999999</v>
      </c>
      <c r="G50" s="4">
        <v>1791600</v>
      </c>
      <c r="H50">
        <f t="shared" si="0"/>
        <v>2.5380834601901579E-2</v>
      </c>
    </row>
    <row r="51" spans="1:8" x14ac:dyDescent="0.3">
      <c r="A51" s="1">
        <v>42079</v>
      </c>
      <c r="B51" s="2">
        <v>40.729999999999997</v>
      </c>
      <c r="C51" s="2">
        <v>41.279998999999997</v>
      </c>
      <c r="D51" s="2">
        <v>40.650002000000001</v>
      </c>
      <c r="E51" s="2">
        <v>41.09</v>
      </c>
      <c r="F51" s="3">
        <v>30.861450000000001</v>
      </c>
      <c r="G51" s="4">
        <v>1055300</v>
      </c>
      <c r="H51">
        <f t="shared" si="0"/>
        <v>9.5366658767448553E-3</v>
      </c>
    </row>
    <row r="52" spans="1:8" x14ac:dyDescent="0.3">
      <c r="A52" s="1">
        <v>42080</v>
      </c>
      <c r="B52" s="2">
        <v>41.16</v>
      </c>
      <c r="C52" s="2">
        <v>41.299999</v>
      </c>
      <c r="D52" s="2">
        <v>40.509998000000003</v>
      </c>
      <c r="E52" s="2">
        <v>40.909999999999997</v>
      </c>
      <c r="F52" s="3">
        <v>30.726257</v>
      </c>
      <c r="G52" s="4">
        <v>877000</v>
      </c>
      <c r="H52">
        <f t="shared" si="0"/>
        <v>-4.3902509540113353E-3</v>
      </c>
    </row>
    <row r="53" spans="1:8" x14ac:dyDescent="0.3">
      <c r="A53" s="1">
        <v>42081</v>
      </c>
      <c r="B53" s="2">
        <v>40.759998000000003</v>
      </c>
      <c r="C53" s="2">
        <v>41.349997999999999</v>
      </c>
      <c r="D53" s="2">
        <v>40.159999999999997</v>
      </c>
      <c r="E53" s="2">
        <v>41.119999</v>
      </c>
      <c r="F53" s="3">
        <v>30.883977999999999</v>
      </c>
      <c r="G53" s="4">
        <v>1115800</v>
      </c>
      <c r="H53">
        <f t="shared" si="0"/>
        <v>5.1200648865360743E-3</v>
      </c>
    </row>
    <row r="54" spans="1:8" x14ac:dyDescent="0.3">
      <c r="A54" s="1">
        <v>42082</v>
      </c>
      <c r="B54" s="2">
        <v>41.080002</v>
      </c>
      <c r="C54" s="2">
        <v>41.169998</v>
      </c>
      <c r="D54" s="2">
        <v>40.610000999999997</v>
      </c>
      <c r="E54" s="2">
        <v>40.790000999999997</v>
      </c>
      <c r="F54" s="3">
        <v>30.636126000000001</v>
      </c>
      <c r="G54" s="4">
        <v>897100</v>
      </c>
      <c r="H54">
        <f t="shared" si="0"/>
        <v>-8.0576189825638349E-3</v>
      </c>
    </row>
    <row r="55" spans="1:8" x14ac:dyDescent="0.3">
      <c r="A55" s="1">
        <v>42083</v>
      </c>
      <c r="B55" s="2">
        <v>40.849997999999999</v>
      </c>
      <c r="C55" s="2">
        <v>41.189999</v>
      </c>
      <c r="D55" s="2">
        <v>40.529998999999997</v>
      </c>
      <c r="E55" s="2">
        <v>40.919998</v>
      </c>
      <c r="F55" s="3">
        <v>30.733767</v>
      </c>
      <c r="G55" s="4">
        <v>2407300</v>
      </c>
      <c r="H55">
        <f t="shared" si="0"/>
        <v>3.1819143622898644E-3</v>
      </c>
    </row>
    <row r="56" spans="1:8" x14ac:dyDescent="0.3">
      <c r="A56" s="1">
        <v>42086</v>
      </c>
      <c r="B56" s="2">
        <v>41.07</v>
      </c>
      <c r="C56" s="2">
        <v>41.73</v>
      </c>
      <c r="D56" s="2">
        <v>40.75</v>
      </c>
      <c r="E56" s="2">
        <v>41.34</v>
      </c>
      <c r="F56" s="3">
        <v>31.049215</v>
      </c>
      <c r="G56" s="4">
        <v>1753400</v>
      </c>
      <c r="H56">
        <f t="shared" si="0"/>
        <v>1.0211662046052979E-2</v>
      </c>
    </row>
    <row r="57" spans="1:8" x14ac:dyDescent="0.3">
      <c r="A57" s="1">
        <v>42087</v>
      </c>
      <c r="B57" s="2">
        <v>41.279998999999997</v>
      </c>
      <c r="C57" s="2">
        <v>41.529998999999997</v>
      </c>
      <c r="D57" s="2">
        <v>40.900002000000001</v>
      </c>
      <c r="E57" s="2">
        <v>40.909999999999997</v>
      </c>
      <c r="F57" s="3">
        <v>30.726257</v>
      </c>
      <c r="G57" s="4">
        <v>2578000</v>
      </c>
      <c r="H57">
        <f t="shared" si="0"/>
        <v>-1.0456022312315167E-2</v>
      </c>
    </row>
    <row r="58" spans="1:8" x14ac:dyDescent="0.3">
      <c r="A58" s="1">
        <v>42088</v>
      </c>
      <c r="B58" s="2">
        <v>40.909999999999997</v>
      </c>
      <c r="C58" s="2">
        <v>41.209999000000003</v>
      </c>
      <c r="D58" s="2">
        <v>39.799999</v>
      </c>
      <c r="E58" s="2">
        <v>39.810001</v>
      </c>
      <c r="F58" s="3">
        <v>29.900082000000001</v>
      </c>
      <c r="G58" s="4">
        <v>2071300</v>
      </c>
      <c r="H58">
        <f t="shared" si="0"/>
        <v>-2.7256369809764848E-2</v>
      </c>
    </row>
    <row r="59" spans="1:8" x14ac:dyDescent="0.3">
      <c r="A59" s="1">
        <v>42089</v>
      </c>
      <c r="B59" s="2">
        <v>39.490001999999997</v>
      </c>
      <c r="C59" s="2">
        <v>39.799999</v>
      </c>
      <c r="D59" s="2">
        <v>38.580002</v>
      </c>
      <c r="E59" s="2">
        <v>38.790000999999997</v>
      </c>
      <c r="F59" s="3">
        <v>29.133991000000002</v>
      </c>
      <c r="G59" s="4">
        <v>4853500</v>
      </c>
      <c r="H59">
        <f t="shared" si="0"/>
        <v>-2.595565489982676E-2</v>
      </c>
    </row>
    <row r="60" spans="1:8" x14ac:dyDescent="0.3">
      <c r="A60" s="1">
        <v>42090</v>
      </c>
      <c r="B60" s="2">
        <v>37.669998</v>
      </c>
      <c r="C60" s="2">
        <v>38.790000999999997</v>
      </c>
      <c r="D60" s="2">
        <v>37.139999000000003</v>
      </c>
      <c r="E60" s="2">
        <v>38.360000999999997</v>
      </c>
      <c r="F60" s="3">
        <v>28.811028</v>
      </c>
      <c r="G60" s="4">
        <v>5495800</v>
      </c>
      <c r="H60">
        <f t="shared" si="0"/>
        <v>-1.1147231147656818E-2</v>
      </c>
    </row>
    <row r="61" spans="1:8" x14ac:dyDescent="0.3">
      <c r="A61" s="1">
        <v>42093</v>
      </c>
      <c r="B61" s="2">
        <v>38.400002000000001</v>
      </c>
      <c r="C61" s="2">
        <v>38.5</v>
      </c>
      <c r="D61" s="2">
        <v>37.509998000000003</v>
      </c>
      <c r="E61" s="2">
        <v>37.689999</v>
      </c>
      <c r="F61" s="3">
        <v>28.307815999999999</v>
      </c>
      <c r="G61" s="4">
        <v>2990100</v>
      </c>
      <c r="H61">
        <f t="shared" si="0"/>
        <v>-1.7620495337251706E-2</v>
      </c>
    </row>
    <row r="62" spans="1:8" x14ac:dyDescent="0.3">
      <c r="A62" s="1">
        <v>42094</v>
      </c>
      <c r="B62" s="2">
        <v>37.380001</v>
      </c>
      <c r="C62" s="2">
        <v>38.549999</v>
      </c>
      <c r="D62" s="2">
        <v>37.220001000000003</v>
      </c>
      <c r="E62" s="2">
        <v>37.959999000000003</v>
      </c>
      <c r="F62" s="3">
        <v>28.510607</v>
      </c>
      <c r="G62" s="4">
        <v>2114700</v>
      </c>
      <c r="H62">
        <f t="shared" si="0"/>
        <v>7.1381666514002146E-3</v>
      </c>
    </row>
    <row r="63" spans="1:8" x14ac:dyDescent="0.3">
      <c r="A63" s="1">
        <v>42095</v>
      </c>
      <c r="B63" s="2">
        <v>37.860000999999997</v>
      </c>
      <c r="C63" s="2">
        <v>38.5</v>
      </c>
      <c r="D63" s="2">
        <v>37.330002</v>
      </c>
      <c r="E63" s="2">
        <v>37.779998999999997</v>
      </c>
      <c r="F63" s="3">
        <v>28.375409999999999</v>
      </c>
      <c r="G63" s="4">
        <v>2464900</v>
      </c>
      <c r="H63">
        <f t="shared" si="0"/>
        <v>-4.7531117938755755E-3</v>
      </c>
    </row>
    <row r="64" spans="1:8" x14ac:dyDescent="0.3">
      <c r="A64" s="1">
        <v>42096</v>
      </c>
      <c r="B64" s="2">
        <v>38.060001</v>
      </c>
      <c r="C64" s="2">
        <v>38.810001</v>
      </c>
      <c r="D64" s="2">
        <v>37.880001</v>
      </c>
      <c r="E64" s="2">
        <v>38.200001</v>
      </c>
      <c r="F64" s="3">
        <v>28.690854999999999</v>
      </c>
      <c r="G64" s="4">
        <v>1172600</v>
      </c>
      <c r="H64">
        <f t="shared" si="0"/>
        <v>1.105570618620773E-2</v>
      </c>
    </row>
    <row r="65" spans="1:8" x14ac:dyDescent="0.3">
      <c r="A65" s="1">
        <v>42100</v>
      </c>
      <c r="B65" s="2">
        <v>38</v>
      </c>
      <c r="C65" s="2">
        <v>38.389999000000003</v>
      </c>
      <c r="D65" s="2">
        <v>37.68</v>
      </c>
      <c r="E65" s="2">
        <v>38.369999</v>
      </c>
      <c r="F65" s="3">
        <v>28.818536999999999</v>
      </c>
      <c r="G65" s="4">
        <v>1483900</v>
      </c>
      <c r="H65">
        <f t="shared" si="0"/>
        <v>4.4403364062934941E-3</v>
      </c>
    </row>
    <row r="66" spans="1:8" x14ac:dyDescent="0.3">
      <c r="A66" s="1">
        <v>42101</v>
      </c>
      <c r="B66" s="2">
        <v>38.369999</v>
      </c>
      <c r="C66" s="2">
        <v>38.5</v>
      </c>
      <c r="D66" s="2">
        <v>37.919998</v>
      </c>
      <c r="E66" s="2">
        <v>37.979999999999997</v>
      </c>
      <c r="F66" s="3">
        <v>28.525623</v>
      </c>
      <c r="G66" s="4">
        <v>1332100</v>
      </c>
      <c r="H66">
        <f t="shared" si="0"/>
        <v>-1.0216172812693301E-2</v>
      </c>
    </row>
    <row r="67" spans="1:8" x14ac:dyDescent="0.3">
      <c r="A67" s="1">
        <v>42102</v>
      </c>
      <c r="B67" s="2">
        <v>37.799999</v>
      </c>
      <c r="C67" s="2">
        <v>38.779998999999997</v>
      </c>
      <c r="D67" s="2">
        <v>37.740001999999997</v>
      </c>
      <c r="E67" s="2">
        <v>38.709999000000003</v>
      </c>
      <c r="F67" s="3">
        <v>29.073899999999998</v>
      </c>
      <c r="G67" s="4">
        <v>1649200</v>
      </c>
      <c r="H67">
        <f t="shared" si="0"/>
        <v>1.9038233372298707E-2</v>
      </c>
    </row>
    <row r="68" spans="1:8" x14ac:dyDescent="0.3">
      <c r="A68" s="1">
        <v>42103</v>
      </c>
      <c r="B68" s="2">
        <v>38.759998000000003</v>
      </c>
      <c r="C68" s="2">
        <v>40</v>
      </c>
      <c r="D68" s="2">
        <v>38.349997999999999</v>
      </c>
      <c r="E68" s="2">
        <v>39.990001999999997</v>
      </c>
      <c r="F68" s="3">
        <v>30.035278000000002</v>
      </c>
      <c r="G68" s="4">
        <v>1911600</v>
      </c>
      <c r="H68">
        <f t="shared" ref="H68:H131" si="1">LN(E68/E67)</f>
        <v>3.2531534114790296E-2</v>
      </c>
    </row>
    <row r="69" spans="1:8" x14ac:dyDescent="0.3">
      <c r="A69" s="1">
        <v>42104</v>
      </c>
      <c r="B69" s="2">
        <v>40.18</v>
      </c>
      <c r="C69" s="2">
        <v>40.409999999999997</v>
      </c>
      <c r="D69" s="2">
        <v>39.560001</v>
      </c>
      <c r="E69" s="2">
        <v>40.400002000000001</v>
      </c>
      <c r="F69" s="3">
        <v>30.343212000000001</v>
      </c>
      <c r="G69" s="4">
        <v>1269000</v>
      </c>
      <c r="H69">
        <f t="shared" si="1"/>
        <v>1.0200361600824893E-2</v>
      </c>
    </row>
    <row r="70" spans="1:8" x14ac:dyDescent="0.3">
      <c r="A70" s="1">
        <v>42107</v>
      </c>
      <c r="B70" s="2">
        <v>40.400002000000001</v>
      </c>
      <c r="C70" s="2">
        <v>40.799999</v>
      </c>
      <c r="D70" s="2">
        <v>39.459999000000003</v>
      </c>
      <c r="E70" s="2">
        <v>40.419998</v>
      </c>
      <c r="F70" s="3">
        <v>30.358238</v>
      </c>
      <c r="G70" s="4">
        <v>1843900</v>
      </c>
      <c r="H70">
        <f t="shared" si="1"/>
        <v>4.9482802296477429E-4</v>
      </c>
    </row>
    <row r="71" spans="1:8" x14ac:dyDescent="0.3">
      <c r="A71" s="1">
        <v>42108</v>
      </c>
      <c r="B71" s="2">
        <v>40.25</v>
      </c>
      <c r="C71" s="2">
        <v>40.520000000000003</v>
      </c>
      <c r="D71" s="2">
        <v>39.68</v>
      </c>
      <c r="E71" s="2">
        <v>40.400002000000001</v>
      </c>
      <c r="F71" s="3">
        <v>30.343212000000001</v>
      </c>
      <c r="G71" s="4">
        <v>1497600</v>
      </c>
      <c r="H71">
        <f t="shared" si="1"/>
        <v>-4.9482802296485018E-4</v>
      </c>
    </row>
    <row r="72" spans="1:8" x14ac:dyDescent="0.3">
      <c r="A72" s="1">
        <v>42109</v>
      </c>
      <c r="B72" s="2">
        <v>40.580002</v>
      </c>
      <c r="C72" s="2">
        <v>40.959999000000003</v>
      </c>
      <c r="D72" s="2">
        <v>39.959999000000003</v>
      </c>
      <c r="E72" s="2">
        <v>40.889999000000003</v>
      </c>
      <c r="F72" s="3">
        <v>30.711231000000002</v>
      </c>
      <c r="G72" s="4">
        <v>2297100</v>
      </c>
      <c r="H72">
        <f t="shared" si="1"/>
        <v>1.2055675448639822E-2</v>
      </c>
    </row>
    <row r="73" spans="1:8" x14ac:dyDescent="0.3">
      <c r="A73" s="1">
        <v>42110</v>
      </c>
      <c r="B73" s="2">
        <v>40.939999</v>
      </c>
      <c r="C73" s="2">
        <v>41.299999</v>
      </c>
      <c r="D73" s="2">
        <v>40.68</v>
      </c>
      <c r="E73" s="2">
        <v>40.939999</v>
      </c>
      <c r="F73" s="3">
        <v>30.748795000000001</v>
      </c>
      <c r="G73" s="4">
        <v>1457200</v>
      </c>
      <c r="H73">
        <f t="shared" si="1"/>
        <v>1.2220458864603179E-3</v>
      </c>
    </row>
    <row r="74" spans="1:8" x14ac:dyDescent="0.3">
      <c r="A74" s="1">
        <v>42111</v>
      </c>
      <c r="B74" s="2">
        <v>40.709999000000003</v>
      </c>
      <c r="C74" s="2">
        <v>40.75</v>
      </c>
      <c r="D74" s="2">
        <v>39.459999000000003</v>
      </c>
      <c r="E74" s="2">
        <v>39.659999999999997</v>
      </c>
      <c r="F74" s="3">
        <v>29.787421999999999</v>
      </c>
      <c r="G74" s="4">
        <v>1562100</v>
      </c>
      <c r="H74">
        <f t="shared" si="1"/>
        <v>-3.1764432715504103E-2</v>
      </c>
    </row>
    <row r="75" spans="1:8" x14ac:dyDescent="0.3">
      <c r="A75" s="1">
        <v>42114</v>
      </c>
      <c r="B75" s="2">
        <v>39.790000999999997</v>
      </c>
      <c r="C75" s="2">
        <v>40.439999</v>
      </c>
      <c r="D75" s="2">
        <v>39.759998000000003</v>
      </c>
      <c r="E75" s="2">
        <v>40.32</v>
      </c>
      <c r="F75" s="3">
        <v>30.283121000000001</v>
      </c>
      <c r="G75" s="4">
        <v>1309600</v>
      </c>
      <c r="H75">
        <f t="shared" si="1"/>
        <v>1.6504500671463418E-2</v>
      </c>
    </row>
    <row r="76" spans="1:8" x14ac:dyDescent="0.3">
      <c r="A76" s="1">
        <v>42115</v>
      </c>
      <c r="B76" s="2">
        <v>40.439999</v>
      </c>
      <c r="C76" s="2">
        <v>40.490001999999997</v>
      </c>
      <c r="D76" s="2">
        <v>39.729999999999997</v>
      </c>
      <c r="E76" s="2">
        <v>40.080002</v>
      </c>
      <c r="F76" s="3">
        <v>30.102875000000001</v>
      </c>
      <c r="G76" s="4">
        <v>1377000</v>
      </c>
      <c r="H76">
        <f t="shared" si="1"/>
        <v>-5.9701170863054763E-3</v>
      </c>
    </row>
    <row r="77" spans="1:8" x14ac:dyDescent="0.3">
      <c r="A77" s="1">
        <v>42116</v>
      </c>
      <c r="B77" s="2">
        <v>40</v>
      </c>
      <c r="C77" s="2">
        <v>40.360000999999997</v>
      </c>
      <c r="D77" s="2">
        <v>39.599997999999999</v>
      </c>
      <c r="E77" s="2">
        <v>40.240001999999997</v>
      </c>
      <c r="F77" s="3">
        <v>30.223040000000001</v>
      </c>
      <c r="G77" s="4">
        <v>976100</v>
      </c>
      <c r="H77">
        <f t="shared" si="1"/>
        <v>3.9840688164639168E-3</v>
      </c>
    </row>
    <row r="78" spans="1:8" x14ac:dyDescent="0.3">
      <c r="A78" s="1">
        <v>42117</v>
      </c>
      <c r="B78" s="2">
        <v>40.25</v>
      </c>
      <c r="C78" s="2">
        <v>40.540000999999997</v>
      </c>
      <c r="D78" s="2">
        <v>40.049999</v>
      </c>
      <c r="E78" s="2">
        <v>40.32</v>
      </c>
      <c r="F78" s="3">
        <v>30.283121000000001</v>
      </c>
      <c r="G78" s="4">
        <v>866600</v>
      </c>
      <c r="H78">
        <f t="shared" si="1"/>
        <v>1.9860482698413747E-3</v>
      </c>
    </row>
    <row r="79" spans="1:8" x14ac:dyDescent="0.3">
      <c r="A79" s="1">
        <v>42118</v>
      </c>
      <c r="B79" s="2">
        <v>40.299999</v>
      </c>
      <c r="C79" s="2">
        <v>40.770000000000003</v>
      </c>
      <c r="D79" s="2">
        <v>40.139999000000003</v>
      </c>
      <c r="E79" s="2">
        <v>40.709999000000003</v>
      </c>
      <c r="F79" s="3">
        <v>30.576046000000002</v>
      </c>
      <c r="G79" s="4">
        <v>871800</v>
      </c>
      <c r="H79">
        <f t="shared" si="1"/>
        <v>9.6261141877848882E-3</v>
      </c>
    </row>
    <row r="80" spans="1:8" x14ac:dyDescent="0.3">
      <c r="A80" s="1">
        <v>42121</v>
      </c>
      <c r="B80" s="2">
        <v>40.729999999999997</v>
      </c>
      <c r="C80" s="2">
        <v>41.009998000000003</v>
      </c>
      <c r="D80" s="2">
        <v>40.25</v>
      </c>
      <c r="E80" s="2">
        <v>40.279998999999997</v>
      </c>
      <c r="F80" s="3">
        <v>30.253084000000001</v>
      </c>
      <c r="G80" s="4">
        <v>1048800</v>
      </c>
      <c r="H80">
        <f t="shared" si="1"/>
        <v>-1.0618694926753441E-2</v>
      </c>
    </row>
    <row r="81" spans="1:8" x14ac:dyDescent="0.3">
      <c r="A81" s="1">
        <v>42122</v>
      </c>
      <c r="B81" s="2">
        <v>40.18</v>
      </c>
      <c r="C81" s="2">
        <v>40.470001000000003</v>
      </c>
      <c r="D81" s="2">
        <v>39.560001</v>
      </c>
      <c r="E81" s="2">
        <v>40.389999000000003</v>
      </c>
      <c r="F81" s="3">
        <v>30.335702999999999</v>
      </c>
      <c r="G81" s="4">
        <v>947800</v>
      </c>
      <c r="H81">
        <f t="shared" si="1"/>
        <v>2.7271617925728876E-3</v>
      </c>
    </row>
    <row r="82" spans="1:8" x14ac:dyDescent="0.3">
      <c r="A82" s="1">
        <v>42123</v>
      </c>
      <c r="B82" s="2">
        <v>40.07</v>
      </c>
      <c r="C82" s="2">
        <v>40.540000999999997</v>
      </c>
      <c r="D82" s="2">
        <v>39.159999999999997</v>
      </c>
      <c r="E82" s="2">
        <v>39.330002</v>
      </c>
      <c r="F82" s="3">
        <v>29.539567999999999</v>
      </c>
      <c r="G82" s="4">
        <v>1246300</v>
      </c>
      <c r="H82">
        <f t="shared" si="1"/>
        <v>-2.6594567521233636E-2</v>
      </c>
    </row>
    <row r="83" spans="1:8" x14ac:dyDescent="0.3">
      <c r="A83" s="1">
        <v>42124</v>
      </c>
      <c r="B83" s="2">
        <v>39.229999999999997</v>
      </c>
      <c r="C83" s="2">
        <v>39.330002</v>
      </c>
      <c r="D83" s="2">
        <v>38.419998</v>
      </c>
      <c r="E83" s="2">
        <v>38.540000999999997</v>
      </c>
      <c r="F83" s="3">
        <v>28.94622</v>
      </c>
      <c r="G83" s="4">
        <v>1135700</v>
      </c>
      <c r="H83">
        <f t="shared" si="1"/>
        <v>-2.0290948362196051E-2</v>
      </c>
    </row>
    <row r="84" spans="1:8" x14ac:dyDescent="0.3">
      <c r="A84" s="1">
        <v>42125</v>
      </c>
      <c r="B84" s="2">
        <v>38.630001</v>
      </c>
      <c r="C84" s="2">
        <v>39.189999</v>
      </c>
      <c r="D84" s="2">
        <v>38.459999000000003</v>
      </c>
      <c r="E84" s="2">
        <v>39.169998</v>
      </c>
      <c r="F84" s="3">
        <v>29.419391999999998</v>
      </c>
      <c r="G84" s="4">
        <v>769800</v>
      </c>
      <c r="H84">
        <f t="shared" si="1"/>
        <v>1.6214407684966372E-2</v>
      </c>
    </row>
    <row r="85" spans="1:8" x14ac:dyDescent="0.3">
      <c r="A85" s="1">
        <v>42128</v>
      </c>
      <c r="B85" s="2">
        <v>39.310001</v>
      </c>
      <c r="C85" s="2">
        <v>40.159999999999997</v>
      </c>
      <c r="D85" s="2">
        <v>39.099997999999999</v>
      </c>
      <c r="E85" s="2">
        <v>40.119999</v>
      </c>
      <c r="F85" s="3">
        <v>30.132919000000001</v>
      </c>
      <c r="G85" s="4">
        <v>878000</v>
      </c>
      <c r="H85">
        <f t="shared" si="1"/>
        <v>2.3963841550255868E-2</v>
      </c>
    </row>
    <row r="86" spans="1:8" x14ac:dyDescent="0.3">
      <c r="A86" s="1">
        <v>42129</v>
      </c>
      <c r="B86" s="2">
        <v>39.93</v>
      </c>
      <c r="C86" s="2">
        <v>40.290000999999997</v>
      </c>
      <c r="D86" s="2">
        <v>39.740001999999997</v>
      </c>
      <c r="E86" s="2">
        <v>40.020000000000003</v>
      </c>
      <c r="F86" s="3">
        <v>30.057808000000001</v>
      </c>
      <c r="G86" s="4">
        <v>1096900</v>
      </c>
      <c r="H86">
        <f t="shared" si="1"/>
        <v>-2.4956090129227338E-3</v>
      </c>
    </row>
    <row r="87" spans="1:8" x14ac:dyDescent="0.3">
      <c r="A87" s="1">
        <v>42130</v>
      </c>
      <c r="B87" s="2">
        <v>39.900002000000001</v>
      </c>
      <c r="C87" s="2">
        <v>39.900002000000001</v>
      </c>
      <c r="D87" s="2">
        <v>38.75</v>
      </c>
      <c r="E87" s="2">
        <v>39.130001</v>
      </c>
      <c r="F87" s="3">
        <v>29.389357</v>
      </c>
      <c r="G87" s="4">
        <v>1451900</v>
      </c>
      <c r="H87">
        <f t="shared" si="1"/>
        <v>-2.2489867377427124E-2</v>
      </c>
    </row>
    <row r="88" spans="1:8" x14ac:dyDescent="0.3">
      <c r="A88" s="1">
        <v>42131</v>
      </c>
      <c r="B88" s="2">
        <v>39.139999000000003</v>
      </c>
      <c r="C88" s="2">
        <v>39.619999</v>
      </c>
      <c r="D88" s="2">
        <v>38.470001000000003</v>
      </c>
      <c r="E88" s="2">
        <v>39.509998000000003</v>
      </c>
      <c r="F88" s="3">
        <v>29.674759000000002</v>
      </c>
      <c r="G88" s="4">
        <v>1705100</v>
      </c>
      <c r="H88">
        <f t="shared" si="1"/>
        <v>9.6642920250416819E-3</v>
      </c>
    </row>
    <row r="89" spans="1:8" x14ac:dyDescent="0.3">
      <c r="A89" s="1">
        <v>42132</v>
      </c>
      <c r="B89" s="2">
        <v>39.840000000000003</v>
      </c>
      <c r="C89" s="2">
        <v>40.5</v>
      </c>
      <c r="D89" s="2">
        <v>39.720001000000003</v>
      </c>
      <c r="E89" s="2">
        <v>40.189999</v>
      </c>
      <c r="F89" s="3">
        <v>30.185482</v>
      </c>
      <c r="G89" s="4">
        <v>1055500</v>
      </c>
      <c r="H89">
        <f t="shared" si="1"/>
        <v>1.706442977609595E-2</v>
      </c>
    </row>
    <row r="90" spans="1:8" x14ac:dyDescent="0.3">
      <c r="A90" s="1">
        <v>42135</v>
      </c>
      <c r="B90" s="2">
        <v>40.090000000000003</v>
      </c>
      <c r="C90" s="2">
        <v>40.490001999999997</v>
      </c>
      <c r="D90" s="2">
        <v>39.740001999999997</v>
      </c>
      <c r="E90" s="2">
        <v>39.759998000000003</v>
      </c>
      <c r="F90" s="3">
        <v>29.862521999999998</v>
      </c>
      <c r="G90" s="4">
        <v>1018900</v>
      </c>
      <c r="H90">
        <f t="shared" si="1"/>
        <v>-1.0756852092736835E-2</v>
      </c>
    </row>
    <row r="91" spans="1:8" x14ac:dyDescent="0.3">
      <c r="A91" s="1">
        <v>42136</v>
      </c>
      <c r="B91" s="2">
        <v>39.5</v>
      </c>
      <c r="C91" s="2">
        <v>39.82</v>
      </c>
      <c r="D91" s="2">
        <v>39.020000000000003</v>
      </c>
      <c r="E91" s="2">
        <v>39.049999</v>
      </c>
      <c r="F91" s="3">
        <v>29.329263999999998</v>
      </c>
      <c r="G91" s="4">
        <v>1333600</v>
      </c>
      <c r="H91">
        <f t="shared" si="1"/>
        <v>-1.8018480809061221E-2</v>
      </c>
    </row>
    <row r="92" spans="1:8" x14ac:dyDescent="0.3">
      <c r="A92" s="1">
        <v>42137</v>
      </c>
      <c r="B92" s="2">
        <v>39.07</v>
      </c>
      <c r="C92" s="2">
        <v>39.380001</v>
      </c>
      <c r="D92" s="2">
        <v>38.520000000000003</v>
      </c>
      <c r="E92" s="2">
        <v>39.200001</v>
      </c>
      <c r="F92" s="3">
        <v>29.441935999999998</v>
      </c>
      <c r="G92" s="4">
        <v>1569800</v>
      </c>
      <c r="H92">
        <f t="shared" si="1"/>
        <v>3.8339216291206142E-3</v>
      </c>
    </row>
    <row r="93" spans="1:8" x14ac:dyDescent="0.3">
      <c r="A93" s="1">
        <v>42138</v>
      </c>
      <c r="B93" s="2">
        <v>39.380001</v>
      </c>
      <c r="C93" s="2">
        <v>39.400002000000001</v>
      </c>
      <c r="D93" s="2">
        <v>38.75</v>
      </c>
      <c r="E93" s="2">
        <v>39.169998</v>
      </c>
      <c r="F93" s="3">
        <v>29.419391999999998</v>
      </c>
      <c r="G93" s="4">
        <v>747200</v>
      </c>
      <c r="H93">
        <f t="shared" si="1"/>
        <v>-7.6567568836632385E-4</v>
      </c>
    </row>
    <row r="94" spans="1:8" x14ac:dyDescent="0.3">
      <c r="A94" s="1">
        <v>42139</v>
      </c>
      <c r="B94" s="2">
        <v>39.169998</v>
      </c>
      <c r="C94" s="2">
        <v>40.090000000000003</v>
      </c>
      <c r="D94" s="2">
        <v>39.099997999999999</v>
      </c>
      <c r="E94" s="2">
        <v>40.060001</v>
      </c>
      <c r="F94" s="3">
        <v>30.087845000000002</v>
      </c>
      <c r="G94" s="4">
        <v>1386700</v>
      </c>
      <c r="H94">
        <f t="shared" si="1"/>
        <v>2.2467258581973619E-2</v>
      </c>
    </row>
    <row r="95" spans="1:8" x14ac:dyDescent="0.3">
      <c r="A95" s="1">
        <v>42142</v>
      </c>
      <c r="B95" s="2">
        <v>40.099997999999999</v>
      </c>
      <c r="C95" s="2">
        <v>40.310001</v>
      </c>
      <c r="D95" s="2">
        <v>39.700001</v>
      </c>
      <c r="E95" s="2">
        <v>40.240001999999997</v>
      </c>
      <c r="F95" s="3">
        <v>30.223040000000001</v>
      </c>
      <c r="G95" s="4">
        <v>1159700</v>
      </c>
      <c r="H95">
        <f t="shared" si="1"/>
        <v>4.4832202930437078E-3</v>
      </c>
    </row>
    <row r="96" spans="1:8" x14ac:dyDescent="0.3">
      <c r="A96" s="1">
        <v>42143</v>
      </c>
      <c r="B96" s="2">
        <v>40.380001</v>
      </c>
      <c r="C96" s="2">
        <v>40.43</v>
      </c>
      <c r="D96" s="2">
        <v>40.029998999999997</v>
      </c>
      <c r="E96" s="2">
        <v>40.310001</v>
      </c>
      <c r="F96" s="3">
        <v>30.275618000000001</v>
      </c>
      <c r="G96" s="4">
        <v>1001900</v>
      </c>
      <c r="H96">
        <f t="shared" si="1"/>
        <v>1.7380264435424484E-3</v>
      </c>
    </row>
    <row r="97" spans="1:8" x14ac:dyDescent="0.3">
      <c r="A97" s="1">
        <v>42144</v>
      </c>
      <c r="B97" s="2">
        <v>40.200001</v>
      </c>
      <c r="C97" s="2">
        <v>40.330002</v>
      </c>
      <c r="D97" s="2">
        <v>39.68</v>
      </c>
      <c r="E97" s="2">
        <v>40.139999000000003</v>
      </c>
      <c r="F97" s="3">
        <v>30.147929999999999</v>
      </c>
      <c r="G97" s="4">
        <v>1006500</v>
      </c>
      <c r="H97">
        <f t="shared" si="1"/>
        <v>-4.2262834814274265E-3</v>
      </c>
    </row>
    <row r="98" spans="1:8" x14ac:dyDescent="0.3">
      <c r="A98" s="1">
        <v>42145</v>
      </c>
      <c r="B98" s="2">
        <v>40.43</v>
      </c>
      <c r="C98" s="2">
        <v>40.919998</v>
      </c>
      <c r="D98" s="2">
        <v>40.25</v>
      </c>
      <c r="E98" s="2">
        <v>40.770000000000003</v>
      </c>
      <c r="F98" s="3">
        <v>30.621103000000002</v>
      </c>
      <c r="G98" s="4">
        <v>1287000</v>
      </c>
      <c r="H98">
        <f t="shared" si="1"/>
        <v>1.5573198375775348E-2</v>
      </c>
    </row>
    <row r="99" spans="1:8" x14ac:dyDescent="0.3">
      <c r="A99" s="1">
        <v>42146</v>
      </c>
      <c r="B99" s="2">
        <v>40.759998000000003</v>
      </c>
      <c r="C99" s="2">
        <v>40.98</v>
      </c>
      <c r="D99" s="2">
        <v>40.380001</v>
      </c>
      <c r="E99" s="2">
        <v>40.799999</v>
      </c>
      <c r="F99" s="3">
        <v>30.643639</v>
      </c>
      <c r="G99" s="4">
        <v>1139100</v>
      </c>
      <c r="H99">
        <f t="shared" si="1"/>
        <v>7.3554006914969305E-4</v>
      </c>
    </row>
    <row r="100" spans="1:8" x14ac:dyDescent="0.3">
      <c r="A100" s="1">
        <v>42150</v>
      </c>
      <c r="B100" s="2">
        <v>40.689999</v>
      </c>
      <c r="C100" s="2">
        <v>40.98</v>
      </c>
      <c r="D100" s="2">
        <v>39.849997999999999</v>
      </c>
      <c r="E100" s="2">
        <v>40.18</v>
      </c>
      <c r="F100" s="3">
        <v>30.177969000000001</v>
      </c>
      <c r="G100" s="4">
        <v>1237100</v>
      </c>
      <c r="H100">
        <f t="shared" si="1"/>
        <v>-1.5312697513523432E-2</v>
      </c>
    </row>
    <row r="101" spans="1:8" x14ac:dyDescent="0.3">
      <c r="A101" s="1">
        <v>42151</v>
      </c>
      <c r="B101" s="2">
        <v>40.549999</v>
      </c>
      <c r="C101" s="2">
        <v>40.619999</v>
      </c>
      <c r="D101" s="2">
        <v>39.400002000000001</v>
      </c>
      <c r="E101" s="2">
        <v>39.470001000000003</v>
      </c>
      <c r="F101" s="3">
        <v>29.64472</v>
      </c>
      <c r="G101" s="4">
        <v>1799700</v>
      </c>
      <c r="H101">
        <f t="shared" si="1"/>
        <v>-1.7828444376334792E-2</v>
      </c>
    </row>
    <row r="102" spans="1:8" x14ac:dyDescent="0.3">
      <c r="A102" s="1">
        <v>42152</v>
      </c>
      <c r="B102" s="2">
        <v>39.57</v>
      </c>
      <c r="C102" s="2">
        <v>41.32</v>
      </c>
      <c r="D102" s="2">
        <v>39.509998000000003</v>
      </c>
      <c r="E102" s="2">
        <v>40.919998</v>
      </c>
      <c r="F102" s="3">
        <v>30.733767</v>
      </c>
      <c r="G102" s="4">
        <v>3858200</v>
      </c>
      <c r="H102">
        <f t="shared" si="1"/>
        <v>3.6077977197115758E-2</v>
      </c>
    </row>
    <row r="103" spans="1:8" x14ac:dyDescent="0.3">
      <c r="A103" s="1">
        <v>42153</v>
      </c>
      <c r="B103" s="2">
        <v>43.98</v>
      </c>
      <c r="C103" s="2">
        <v>44.490001999999997</v>
      </c>
      <c r="D103" s="2">
        <v>43.119999</v>
      </c>
      <c r="E103" s="2">
        <v>43.41</v>
      </c>
      <c r="F103" s="3">
        <v>32.603935</v>
      </c>
      <c r="G103" s="4">
        <v>8682800</v>
      </c>
      <c r="H103">
        <f t="shared" si="1"/>
        <v>5.9070937103932963E-2</v>
      </c>
    </row>
    <row r="104" spans="1:8" x14ac:dyDescent="0.3">
      <c r="A104" s="1">
        <v>42156</v>
      </c>
      <c r="B104" s="2">
        <v>43.740001999999997</v>
      </c>
      <c r="C104" s="2">
        <v>44.099997999999999</v>
      </c>
      <c r="D104" s="2">
        <v>42.41</v>
      </c>
      <c r="E104" s="2">
        <v>43.470001000000003</v>
      </c>
      <c r="F104" s="3">
        <v>32.648994000000002</v>
      </c>
      <c r="G104" s="4">
        <v>3292800</v>
      </c>
      <c r="H104">
        <f t="shared" si="1"/>
        <v>1.3812386935691909E-3</v>
      </c>
    </row>
    <row r="105" spans="1:8" x14ac:dyDescent="0.3">
      <c r="A105" s="1">
        <v>42157</v>
      </c>
      <c r="B105" s="2">
        <v>43.389999000000003</v>
      </c>
      <c r="C105" s="2">
        <v>44.419998</v>
      </c>
      <c r="D105" s="2">
        <v>42.77</v>
      </c>
      <c r="E105" s="2">
        <v>43.970001000000003</v>
      </c>
      <c r="F105" s="3">
        <v>33.024529000000001</v>
      </c>
      <c r="G105" s="4">
        <v>2307500</v>
      </c>
      <c r="H105">
        <f t="shared" si="1"/>
        <v>1.1436537930426318E-2</v>
      </c>
    </row>
    <row r="106" spans="1:8" x14ac:dyDescent="0.3">
      <c r="A106" s="1">
        <v>42158</v>
      </c>
      <c r="B106" s="2">
        <v>43.990001999999997</v>
      </c>
      <c r="C106" s="2">
        <v>44.310001</v>
      </c>
      <c r="D106" s="2">
        <v>43.599997999999999</v>
      </c>
      <c r="E106" s="2">
        <v>43.720001000000003</v>
      </c>
      <c r="F106" s="3">
        <v>32.836761000000003</v>
      </c>
      <c r="G106" s="4">
        <v>1990300</v>
      </c>
      <c r="H106">
        <f t="shared" si="1"/>
        <v>-5.7019197543330099E-3</v>
      </c>
    </row>
    <row r="107" spans="1:8" x14ac:dyDescent="0.3">
      <c r="A107" s="1">
        <v>42159</v>
      </c>
      <c r="B107" s="2">
        <v>44.150002000000001</v>
      </c>
      <c r="C107" s="2">
        <v>44.459999000000003</v>
      </c>
      <c r="D107" s="2">
        <v>43.869999</v>
      </c>
      <c r="E107" s="2">
        <v>44.02</v>
      </c>
      <c r="F107" s="3">
        <v>33.062088000000003</v>
      </c>
      <c r="G107" s="4">
        <v>1868000</v>
      </c>
      <c r="H107">
        <f t="shared" si="1"/>
        <v>6.8383899171509379E-3</v>
      </c>
    </row>
    <row r="108" spans="1:8" x14ac:dyDescent="0.3">
      <c r="A108" s="1">
        <v>42160</v>
      </c>
      <c r="B108" s="2">
        <v>44.099997999999999</v>
      </c>
      <c r="C108" s="2">
        <v>44.25</v>
      </c>
      <c r="D108" s="2">
        <v>43.59</v>
      </c>
      <c r="E108" s="2">
        <v>44.139999000000003</v>
      </c>
      <c r="F108" s="3">
        <v>33.152209999999997</v>
      </c>
      <c r="G108" s="4">
        <v>1492500</v>
      </c>
      <c r="H108">
        <f t="shared" si="1"/>
        <v>2.7223020750864442E-3</v>
      </c>
    </row>
    <row r="109" spans="1:8" x14ac:dyDescent="0.3">
      <c r="A109" s="1">
        <v>42163</v>
      </c>
      <c r="B109" s="2">
        <v>44.02</v>
      </c>
      <c r="C109" s="2">
        <v>44.279998999999997</v>
      </c>
      <c r="D109" s="2">
        <v>43.02</v>
      </c>
      <c r="E109" s="2">
        <v>43.049999</v>
      </c>
      <c r="F109" s="3">
        <v>32.599421999999997</v>
      </c>
      <c r="G109" s="4">
        <v>1477000</v>
      </c>
      <c r="H109">
        <f t="shared" si="1"/>
        <v>-2.5004170528466322E-2</v>
      </c>
    </row>
    <row r="110" spans="1:8" x14ac:dyDescent="0.3">
      <c r="A110" s="1">
        <v>42164</v>
      </c>
      <c r="B110" s="2">
        <v>43.119999</v>
      </c>
      <c r="C110" s="2">
        <v>43.450001</v>
      </c>
      <c r="D110" s="2">
        <v>42.889999000000003</v>
      </c>
      <c r="E110" s="2">
        <v>42.900002000000001</v>
      </c>
      <c r="F110" s="3">
        <v>32.485840000000003</v>
      </c>
      <c r="G110" s="4">
        <v>1284200</v>
      </c>
      <c r="H110">
        <f t="shared" si="1"/>
        <v>-3.4903350909189787E-3</v>
      </c>
    </row>
    <row r="111" spans="1:8" x14ac:dyDescent="0.3">
      <c r="A111" s="1">
        <v>42165</v>
      </c>
      <c r="B111" s="2">
        <v>43.150002000000001</v>
      </c>
      <c r="C111" s="2">
        <v>43.48</v>
      </c>
      <c r="D111" s="2">
        <v>42.700001</v>
      </c>
      <c r="E111" s="2">
        <v>42.849997999999999</v>
      </c>
      <c r="F111" s="3">
        <v>32.447971000000003</v>
      </c>
      <c r="G111" s="4">
        <v>1784700</v>
      </c>
      <c r="H111">
        <f t="shared" si="1"/>
        <v>-1.1662741846749189E-3</v>
      </c>
    </row>
    <row r="112" spans="1:8" x14ac:dyDescent="0.3">
      <c r="A112" s="1">
        <v>42166</v>
      </c>
      <c r="B112" s="2">
        <v>43.209999000000003</v>
      </c>
      <c r="C112" s="2">
        <v>43.73</v>
      </c>
      <c r="D112" s="2">
        <v>42.75</v>
      </c>
      <c r="E112" s="2">
        <v>43</v>
      </c>
      <c r="F112" s="3">
        <v>32.561557999999998</v>
      </c>
      <c r="G112" s="4">
        <v>1807900</v>
      </c>
      <c r="H112">
        <f t="shared" si="1"/>
        <v>3.4945173242205002E-3</v>
      </c>
    </row>
    <row r="113" spans="1:8" x14ac:dyDescent="0.3">
      <c r="A113" s="1">
        <v>42167</v>
      </c>
      <c r="B113" s="2">
        <v>42.919998</v>
      </c>
      <c r="C113" s="2">
        <v>43.27</v>
      </c>
      <c r="D113" s="2">
        <v>42.689999</v>
      </c>
      <c r="E113" s="2">
        <v>42.959999000000003</v>
      </c>
      <c r="F113" s="3">
        <v>32.531272999999999</v>
      </c>
      <c r="G113" s="4">
        <v>1334700</v>
      </c>
      <c r="H113">
        <f t="shared" si="1"/>
        <v>-9.3068877042082093E-4</v>
      </c>
    </row>
    <row r="114" spans="1:8" x14ac:dyDescent="0.3">
      <c r="A114" s="1">
        <v>42170</v>
      </c>
      <c r="B114" s="2">
        <v>42.869999</v>
      </c>
      <c r="C114" s="2">
        <v>43.27</v>
      </c>
      <c r="D114" s="2">
        <v>42.32</v>
      </c>
      <c r="E114" s="2">
        <v>42.52</v>
      </c>
      <c r="F114" s="3">
        <v>32.198081999999999</v>
      </c>
      <c r="G114" s="4">
        <v>1859200</v>
      </c>
      <c r="H114">
        <f t="shared" si="1"/>
        <v>-1.0294873449394431E-2</v>
      </c>
    </row>
    <row r="115" spans="1:8" x14ac:dyDescent="0.3">
      <c r="A115" s="1">
        <v>42171</v>
      </c>
      <c r="B115" s="2">
        <v>42.419998</v>
      </c>
      <c r="C115" s="2">
        <v>42.650002000000001</v>
      </c>
      <c r="D115" s="2">
        <v>41.970001000000003</v>
      </c>
      <c r="E115" s="2">
        <v>42.509998000000003</v>
      </c>
      <c r="F115" s="3">
        <v>32.190505999999999</v>
      </c>
      <c r="G115" s="4">
        <v>1383000</v>
      </c>
      <c r="H115">
        <f t="shared" si="1"/>
        <v>-2.3525815080302311E-4</v>
      </c>
    </row>
    <row r="116" spans="1:8" x14ac:dyDescent="0.3">
      <c r="A116" s="1">
        <v>42172</v>
      </c>
      <c r="B116" s="2">
        <v>42.52</v>
      </c>
      <c r="C116" s="2">
        <v>43.23</v>
      </c>
      <c r="D116" s="2">
        <v>42.18</v>
      </c>
      <c r="E116" s="2">
        <v>43.029998999999997</v>
      </c>
      <c r="F116" s="3">
        <v>32.584277999999998</v>
      </c>
      <c r="G116" s="4">
        <v>2165300</v>
      </c>
      <c r="H116">
        <f t="shared" si="1"/>
        <v>1.2158228287963433E-2</v>
      </c>
    </row>
    <row r="117" spans="1:8" x14ac:dyDescent="0.3">
      <c r="A117" s="1">
        <v>42173</v>
      </c>
      <c r="B117" s="2">
        <v>43.200001</v>
      </c>
      <c r="C117" s="2">
        <v>43.389999000000003</v>
      </c>
      <c r="D117" s="2">
        <v>42.860000999999997</v>
      </c>
      <c r="E117" s="2">
        <v>43.189999</v>
      </c>
      <c r="F117" s="3">
        <v>32.705441</v>
      </c>
      <c r="G117" s="4">
        <v>2020800</v>
      </c>
      <c r="H117">
        <f t="shared" si="1"/>
        <v>3.7114402081940023E-3</v>
      </c>
    </row>
    <row r="118" spans="1:8" x14ac:dyDescent="0.3">
      <c r="A118" s="1">
        <v>42174</v>
      </c>
      <c r="B118" s="2">
        <v>43.400002000000001</v>
      </c>
      <c r="C118" s="2">
        <v>43.82</v>
      </c>
      <c r="D118" s="2">
        <v>43</v>
      </c>
      <c r="E118" s="2">
        <v>43.09</v>
      </c>
      <c r="F118" s="3">
        <v>32.629707000000003</v>
      </c>
      <c r="G118" s="4">
        <v>2339300</v>
      </c>
      <c r="H118">
        <f t="shared" si="1"/>
        <v>-2.3180121913549873E-3</v>
      </c>
    </row>
    <row r="119" spans="1:8" x14ac:dyDescent="0.3">
      <c r="A119" s="1">
        <v>42177</v>
      </c>
      <c r="B119" s="2">
        <v>43.25</v>
      </c>
      <c r="C119" s="2">
        <v>44.119999</v>
      </c>
      <c r="D119" s="2">
        <v>43.009998000000003</v>
      </c>
      <c r="E119" s="2">
        <v>43.889999000000003</v>
      </c>
      <c r="F119" s="3">
        <v>33.235512</v>
      </c>
      <c r="G119" s="4">
        <v>2540900</v>
      </c>
      <c r="H119">
        <f t="shared" si="1"/>
        <v>1.8395529288162425E-2</v>
      </c>
    </row>
    <row r="120" spans="1:8" x14ac:dyDescent="0.3">
      <c r="A120" s="1">
        <v>42178</v>
      </c>
      <c r="B120" s="2">
        <v>44.029998999999997</v>
      </c>
      <c r="C120" s="2">
        <v>44.549999</v>
      </c>
      <c r="D120" s="2">
        <v>43.84</v>
      </c>
      <c r="E120" s="2">
        <v>44.360000999999997</v>
      </c>
      <c r="F120" s="3">
        <v>33.591419000000002</v>
      </c>
      <c r="G120" s="4">
        <v>1758500</v>
      </c>
      <c r="H120">
        <f t="shared" si="1"/>
        <v>1.0651704109088101E-2</v>
      </c>
    </row>
    <row r="121" spans="1:8" x14ac:dyDescent="0.3">
      <c r="A121" s="1">
        <v>42179</v>
      </c>
      <c r="B121" s="2">
        <v>44.189999</v>
      </c>
      <c r="C121" s="2">
        <v>45.5</v>
      </c>
      <c r="D121" s="2">
        <v>44.16</v>
      </c>
      <c r="E121" s="2">
        <v>44.549999</v>
      </c>
      <c r="F121" s="3">
        <v>33.735287</v>
      </c>
      <c r="G121" s="4">
        <v>2421900</v>
      </c>
      <c r="H121">
        <f t="shared" si="1"/>
        <v>4.2739464451315287E-3</v>
      </c>
    </row>
    <row r="122" spans="1:8" x14ac:dyDescent="0.3">
      <c r="A122" s="1">
        <v>42180</v>
      </c>
      <c r="B122" s="2">
        <v>44.580002</v>
      </c>
      <c r="C122" s="2">
        <v>44.73</v>
      </c>
      <c r="D122" s="2">
        <v>43.650002000000001</v>
      </c>
      <c r="E122" s="2">
        <v>43.66</v>
      </c>
      <c r="F122" s="3">
        <v>33.061343999999998</v>
      </c>
      <c r="G122" s="4">
        <v>1617100</v>
      </c>
      <c r="H122">
        <f t="shared" si="1"/>
        <v>-2.0179780348331178E-2</v>
      </c>
    </row>
    <row r="123" spans="1:8" x14ac:dyDescent="0.3">
      <c r="A123" s="1">
        <v>42181</v>
      </c>
      <c r="B123" s="2">
        <v>43.779998999999997</v>
      </c>
      <c r="C123" s="2">
        <v>44.139999000000003</v>
      </c>
      <c r="D123" s="2">
        <v>43.369999</v>
      </c>
      <c r="E123" s="2">
        <v>44.040000999999997</v>
      </c>
      <c r="F123" s="3">
        <v>33.349102000000002</v>
      </c>
      <c r="G123" s="4">
        <v>1900900</v>
      </c>
      <c r="H123">
        <f t="shared" si="1"/>
        <v>8.6659834393113516E-3</v>
      </c>
    </row>
    <row r="124" spans="1:8" x14ac:dyDescent="0.3">
      <c r="A124" s="1">
        <v>42184</v>
      </c>
      <c r="B124" s="2">
        <v>43.73</v>
      </c>
      <c r="C124" s="2">
        <v>43.93</v>
      </c>
      <c r="D124" s="2">
        <v>42.759998000000003</v>
      </c>
      <c r="E124" s="2">
        <v>42.77</v>
      </c>
      <c r="F124" s="3">
        <v>32.387397999999997</v>
      </c>
      <c r="G124" s="4">
        <v>1114700</v>
      </c>
      <c r="H124">
        <f t="shared" si="1"/>
        <v>-2.9261412322291878E-2</v>
      </c>
    </row>
    <row r="125" spans="1:8" x14ac:dyDescent="0.3">
      <c r="A125" s="1">
        <v>42185</v>
      </c>
      <c r="B125" s="2">
        <v>43.080002</v>
      </c>
      <c r="C125" s="2">
        <v>43.200001</v>
      </c>
      <c r="D125" s="2">
        <v>42.77</v>
      </c>
      <c r="E125" s="2">
        <v>42.959999000000003</v>
      </c>
      <c r="F125" s="3">
        <v>32.531272999999999</v>
      </c>
      <c r="G125" s="4">
        <v>1117700</v>
      </c>
      <c r="H125">
        <f t="shared" si="1"/>
        <v>4.4325046843242686E-3</v>
      </c>
    </row>
    <row r="126" spans="1:8" x14ac:dyDescent="0.3">
      <c r="A126" s="1">
        <v>42186</v>
      </c>
      <c r="B126" s="2">
        <v>43.25</v>
      </c>
      <c r="C126" s="2">
        <v>44.41</v>
      </c>
      <c r="D126" s="2">
        <v>43.16</v>
      </c>
      <c r="E126" s="2">
        <v>44.119999</v>
      </c>
      <c r="F126" s="3">
        <v>33.409672</v>
      </c>
      <c r="G126" s="4">
        <v>1731400</v>
      </c>
      <c r="H126">
        <f t="shared" si="1"/>
        <v>2.6643744796702021E-2</v>
      </c>
    </row>
    <row r="127" spans="1:8" x14ac:dyDescent="0.3">
      <c r="A127" s="1">
        <v>42187</v>
      </c>
      <c r="B127" s="2">
        <v>43.810001</v>
      </c>
      <c r="C127" s="2">
        <v>44.5</v>
      </c>
      <c r="D127" s="2">
        <v>43.5</v>
      </c>
      <c r="E127" s="2">
        <v>43.560001</v>
      </c>
      <c r="F127" s="3">
        <v>32.985621999999999</v>
      </c>
      <c r="G127" s="4">
        <v>1204600</v>
      </c>
      <c r="H127">
        <f t="shared" si="1"/>
        <v>-1.2773850698243003E-2</v>
      </c>
    </row>
    <row r="128" spans="1:8" x14ac:dyDescent="0.3">
      <c r="A128" s="1">
        <v>42191</v>
      </c>
      <c r="B128" s="2">
        <v>43.119999</v>
      </c>
      <c r="C128" s="2">
        <v>44.349997999999999</v>
      </c>
      <c r="D128" s="2">
        <v>42.970001000000003</v>
      </c>
      <c r="E128" s="2">
        <v>44.32</v>
      </c>
      <c r="F128" s="3">
        <v>33.561131000000003</v>
      </c>
      <c r="G128" s="4">
        <v>1506700</v>
      </c>
      <c r="H128">
        <f t="shared" si="1"/>
        <v>1.7296721417427802E-2</v>
      </c>
    </row>
    <row r="129" spans="1:8" x14ac:dyDescent="0.3">
      <c r="A129" s="1">
        <v>42192</v>
      </c>
      <c r="B129" s="2">
        <v>44.290000999999997</v>
      </c>
      <c r="C129" s="2">
        <v>46.049999</v>
      </c>
      <c r="D129" s="2">
        <v>44.029998999999997</v>
      </c>
      <c r="E129" s="2">
        <v>46.029998999999997</v>
      </c>
      <c r="F129" s="3">
        <v>34.856009999999998</v>
      </c>
      <c r="G129" s="4">
        <v>2409700</v>
      </c>
      <c r="H129">
        <f t="shared" si="1"/>
        <v>3.7857293665159379E-2</v>
      </c>
    </row>
    <row r="130" spans="1:8" x14ac:dyDescent="0.3">
      <c r="A130" s="1">
        <v>42193</v>
      </c>
      <c r="B130" s="2">
        <v>45.77</v>
      </c>
      <c r="C130" s="2">
        <v>46.23</v>
      </c>
      <c r="D130" s="2">
        <v>45.490001999999997</v>
      </c>
      <c r="E130" s="2">
        <v>45.740001999999997</v>
      </c>
      <c r="F130" s="3">
        <v>34.636417000000002</v>
      </c>
      <c r="G130" s="4">
        <v>2448000</v>
      </c>
      <c r="H130">
        <f t="shared" si="1"/>
        <v>-6.3201037841492764E-3</v>
      </c>
    </row>
    <row r="131" spans="1:8" x14ac:dyDescent="0.3">
      <c r="A131" s="1">
        <v>42194</v>
      </c>
      <c r="B131" s="2">
        <v>46.400002000000001</v>
      </c>
      <c r="C131" s="2">
        <v>47.09</v>
      </c>
      <c r="D131" s="2">
        <v>45.880001</v>
      </c>
      <c r="E131" s="2">
        <v>46.900002000000001</v>
      </c>
      <c r="F131" s="3">
        <v>35.514811999999999</v>
      </c>
      <c r="G131" s="4">
        <v>2715600</v>
      </c>
      <c r="H131">
        <f t="shared" si="1"/>
        <v>2.5044485776117526E-2</v>
      </c>
    </row>
    <row r="132" spans="1:8" x14ac:dyDescent="0.3">
      <c r="A132" s="1">
        <v>42195</v>
      </c>
      <c r="B132" s="2">
        <v>47.290000999999997</v>
      </c>
      <c r="C132" s="2">
        <v>47.34</v>
      </c>
      <c r="D132" s="2">
        <v>46.400002000000001</v>
      </c>
      <c r="E132" s="2">
        <v>46.959999000000003</v>
      </c>
      <c r="F132" s="3">
        <v>35.560253000000003</v>
      </c>
      <c r="G132" s="4">
        <v>1491500</v>
      </c>
      <c r="H132">
        <f t="shared" ref="H132:H195" si="2">LN(E132/E131)</f>
        <v>1.2784361289659085E-3</v>
      </c>
    </row>
    <row r="133" spans="1:8" x14ac:dyDescent="0.3">
      <c r="A133" s="1">
        <v>42198</v>
      </c>
      <c r="B133" s="2">
        <v>47.209999000000003</v>
      </c>
      <c r="C133" s="2">
        <v>47.66</v>
      </c>
      <c r="D133" s="2">
        <v>46.84</v>
      </c>
      <c r="E133" s="2">
        <v>47.349997999999999</v>
      </c>
      <c r="F133" s="3">
        <v>35.855575999999999</v>
      </c>
      <c r="G133" s="4">
        <v>1651800</v>
      </c>
      <c r="H133">
        <f t="shared" si="2"/>
        <v>8.2706231683159579E-3</v>
      </c>
    </row>
    <row r="134" spans="1:8" x14ac:dyDescent="0.3">
      <c r="A134" s="1">
        <v>42199</v>
      </c>
      <c r="B134" s="2">
        <v>47.220001000000003</v>
      </c>
      <c r="C134" s="2">
        <v>47.450001</v>
      </c>
      <c r="D134" s="2">
        <v>46.25</v>
      </c>
      <c r="E134" s="2">
        <v>46.73</v>
      </c>
      <c r="F134" s="3">
        <v>35.386088999999998</v>
      </c>
      <c r="G134" s="4">
        <v>2652700</v>
      </c>
      <c r="H134">
        <f t="shared" si="2"/>
        <v>-1.31804206811032E-2</v>
      </c>
    </row>
    <row r="135" spans="1:8" x14ac:dyDescent="0.3">
      <c r="A135" s="1">
        <v>42200</v>
      </c>
      <c r="B135" s="2">
        <v>46.849997999999999</v>
      </c>
      <c r="C135" s="2">
        <v>47</v>
      </c>
      <c r="D135" s="2">
        <v>46.349997999999999</v>
      </c>
      <c r="E135" s="2">
        <v>46.419998</v>
      </c>
      <c r="F135" s="3">
        <v>35.151336999999998</v>
      </c>
      <c r="G135" s="4">
        <v>1345800</v>
      </c>
      <c r="H135">
        <f t="shared" si="2"/>
        <v>-6.6559989509219347E-3</v>
      </c>
    </row>
    <row r="136" spans="1:8" x14ac:dyDescent="0.3">
      <c r="A136" s="1">
        <v>42201</v>
      </c>
      <c r="B136" s="2">
        <v>46.48</v>
      </c>
      <c r="C136" s="2">
        <v>47.759998000000003</v>
      </c>
      <c r="D136" s="2">
        <v>46.18</v>
      </c>
      <c r="E136" s="2">
        <v>47.23</v>
      </c>
      <c r="F136" s="3">
        <v>35.764709000000003</v>
      </c>
      <c r="G136" s="4">
        <v>2613000</v>
      </c>
      <c r="H136">
        <f t="shared" si="2"/>
        <v>1.7298926146612888E-2</v>
      </c>
    </row>
    <row r="137" spans="1:8" x14ac:dyDescent="0.3">
      <c r="A137" s="1">
        <v>42202</v>
      </c>
      <c r="B137" s="2">
        <v>47.23</v>
      </c>
      <c r="C137" s="2">
        <v>47.549999</v>
      </c>
      <c r="D137" s="2">
        <v>46.380001</v>
      </c>
      <c r="E137" s="2">
        <v>46.669998</v>
      </c>
      <c r="F137" s="3">
        <v>35.340648999999999</v>
      </c>
      <c r="G137" s="4">
        <v>1329300</v>
      </c>
      <c r="H137">
        <f t="shared" si="2"/>
        <v>-1.1927766800384206E-2</v>
      </c>
    </row>
    <row r="138" spans="1:8" x14ac:dyDescent="0.3">
      <c r="A138" s="1">
        <v>42205</v>
      </c>
      <c r="B138" s="2">
        <v>46.5</v>
      </c>
      <c r="C138" s="2">
        <v>46.950001</v>
      </c>
      <c r="D138" s="2">
        <v>46.150002000000001</v>
      </c>
      <c r="E138" s="2">
        <v>46.830002</v>
      </c>
      <c r="F138" s="3">
        <v>35.461815000000001</v>
      </c>
      <c r="G138" s="4">
        <v>1318300</v>
      </c>
      <c r="H138">
        <f t="shared" si="2"/>
        <v>3.422548795474073E-3</v>
      </c>
    </row>
    <row r="139" spans="1:8" x14ac:dyDescent="0.3">
      <c r="A139" s="1">
        <v>42206</v>
      </c>
      <c r="B139" s="2">
        <v>46.720001000000003</v>
      </c>
      <c r="C139" s="2">
        <v>46.959999000000003</v>
      </c>
      <c r="D139" s="2">
        <v>46.23</v>
      </c>
      <c r="E139" s="2">
        <v>46.939999</v>
      </c>
      <c r="F139" s="3">
        <v>35.545105</v>
      </c>
      <c r="G139" s="4">
        <v>1276500</v>
      </c>
      <c r="H139">
        <f t="shared" si="2"/>
        <v>2.3461032159696167E-3</v>
      </c>
    </row>
    <row r="140" spans="1:8" x14ac:dyDescent="0.3">
      <c r="A140" s="1">
        <v>42207</v>
      </c>
      <c r="B140" s="2">
        <v>46.77</v>
      </c>
      <c r="C140" s="2">
        <v>47.52</v>
      </c>
      <c r="D140" s="2">
        <v>46.400002000000001</v>
      </c>
      <c r="E140" s="2">
        <v>47.200001</v>
      </c>
      <c r="F140" s="3">
        <v>35.741988999999997</v>
      </c>
      <c r="G140" s="4">
        <v>1626700</v>
      </c>
      <c r="H140">
        <f t="shared" si="2"/>
        <v>5.5237446588649007E-3</v>
      </c>
    </row>
    <row r="141" spans="1:8" x14ac:dyDescent="0.3">
      <c r="A141" s="1">
        <v>42208</v>
      </c>
      <c r="B141" s="2">
        <v>47.23</v>
      </c>
      <c r="C141" s="2">
        <v>47.619999</v>
      </c>
      <c r="D141" s="2">
        <v>46.59</v>
      </c>
      <c r="E141" s="2">
        <v>46.939999</v>
      </c>
      <c r="F141" s="3">
        <v>35.545105</v>
      </c>
      <c r="G141" s="4">
        <v>962300</v>
      </c>
      <c r="H141">
        <f t="shared" si="2"/>
        <v>-5.5237446588650039E-3</v>
      </c>
    </row>
    <row r="142" spans="1:8" x14ac:dyDescent="0.3">
      <c r="A142" s="1">
        <v>42209</v>
      </c>
      <c r="B142" s="2">
        <v>47</v>
      </c>
      <c r="C142" s="2">
        <v>47.080002</v>
      </c>
      <c r="D142" s="2">
        <v>45.330002</v>
      </c>
      <c r="E142" s="2">
        <v>45.490001999999997</v>
      </c>
      <c r="F142" s="3">
        <v>34.447108999999998</v>
      </c>
      <c r="G142" s="4">
        <v>2030700</v>
      </c>
      <c r="H142">
        <f t="shared" si="2"/>
        <v>-3.1377603571466683E-2</v>
      </c>
    </row>
    <row r="143" spans="1:8" x14ac:dyDescent="0.3">
      <c r="A143" s="1">
        <v>42212</v>
      </c>
      <c r="B143" s="2">
        <v>45.400002000000001</v>
      </c>
      <c r="C143" s="2">
        <v>45.82</v>
      </c>
      <c r="D143" s="2">
        <v>44.900002000000001</v>
      </c>
      <c r="E143" s="2">
        <v>45.32</v>
      </c>
      <c r="F143" s="3">
        <v>34.318370999999999</v>
      </c>
      <c r="G143" s="4">
        <v>1573800</v>
      </c>
      <c r="H143">
        <f t="shared" si="2"/>
        <v>-3.7441293878128779E-3</v>
      </c>
    </row>
    <row r="144" spans="1:8" x14ac:dyDescent="0.3">
      <c r="A144" s="1">
        <v>42213</v>
      </c>
      <c r="B144" s="2">
        <v>45.5</v>
      </c>
      <c r="C144" s="2">
        <v>45.740001999999997</v>
      </c>
      <c r="D144" s="2">
        <v>44.73</v>
      </c>
      <c r="E144" s="2">
        <v>45.279998999999997</v>
      </c>
      <c r="F144" s="3">
        <v>34.288077999999999</v>
      </c>
      <c r="G144" s="4">
        <v>1232400</v>
      </c>
      <c r="H144">
        <f t="shared" si="2"/>
        <v>-8.830243496840964E-4</v>
      </c>
    </row>
    <row r="145" spans="1:8" x14ac:dyDescent="0.3">
      <c r="A145" s="1">
        <v>42214</v>
      </c>
      <c r="B145" s="2">
        <v>45.439999</v>
      </c>
      <c r="C145" s="2">
        <v>45.889999000000003</v>
      </c>
      <c r="D145" s="2">
        <v>45.189999</v>
      </c>
      <c r="E145" s="2">
        <v>45.869999</v>
      </c>
      <c r="F145" s="3">
        <v>34.734856000000001</v>
      </c>
      <c r="G145" s="4">
        <v>1001200</v>
      </c>
      <c r="H145">
        <f t="shared" si="2"/>
        <v>1.2945874998217663E-2</v>
      </c>
    </row>
    <row r="146" spans="1:8" x14ac:dyDescent="0.3">
      <c r="A146" s="1">
        <v>42215</v>
      </c>
      <c r="B146" s="2">
        <v>45.75</v>
      </c>
      <c r="C146" s="2">
        <v>46.450001</v>
      </c>
      <c r="D146" s="2">
        <v>45.43</v>
      </c>
      <c r="E146" s="2">
        <v>46.16</v>
      </c>
      <c r="F146" s="3">
        <v>34.954456</v>
      </c>
      <c r="G146" s="4">
        <v>933600</v>
      </c>
      <c r="H146">
        <f t="shared" si="2"/>
        <v>6.3023353915049223E-3</v>
      </c>
    </row>
    <row r="147" spans="1:8" x14ac:dyDescent="0.3">
      <c r="A147" s="1">
        <v>42216</v>
      </c>
      <c r="B147" s="2">
        <v>46.259998000000003</v>
      </c>
      <c r="C147" s="2">
        <v>46.470001000000003</v>
      </c>
      <c r="D147" s="2">
        <v>45.630001</v>
      </c>
      <c r="E147" s="2">
        <v>45.849997999999999</v>
      </c>
      <c r="F147" s="3">
        <v>34.719707</v>
      </c>
      <c r="G147" s="4">
        <v>1095800</v>
      </c>
      <c r="H147">
        <f t="shared" si="2"/>
        <v>-6.7384671178728466E-3</v>
      </c>
    </row>
    <row r="148" spans="1:8" x14ac:dyDescent="0.3">
      <c r="A148" s="1">
        <v>42219</v>
      </c>
      <c r="B148" s="2">
        <v>45.98</v>
      </c>
      <c r="C148" s="2">
        <v>46.18</v>
      </c>
      <c r="D148" s="2">
        <v>44.84</v>
      </c>
      <c r="E148" s="2">
        <v>44.950001</v>
      </c>
      <c r="F148" s="3">
        <v>34.038189000000003</v>
      </c>
      <c r="G148" s="4">
        <v>1205300</v>
      </c>
      <c r="H148">
        <f t="shared" si="2"/>
        <v>-1.9824371917401135E-2</v>
      </c>
    </row>
    <row r="149" spans="1:8" x14ac:dyDescent="0.3">
      <c r="A149" s="1">
        <v>42220</v>
      </c>
      <c r="B149" s="2">
        <v>44.709999000000003</v>
      </c>
      <c r="C149" s="2">
        <v>45.650002000000001</v>
      </c>
      <c r="D149" s="2">
        <v>44.509998000000003</v>
      </c>
      <c r="E149" s="2">
        <v>45.57</v>
      </c>
      <c r="F149" s="3">
        <v>34.507686999999997</v>
      </c>
      <c r="G149" s="4">
        <v>1803100</v>
      </c>
      <c r="H149">
        <f t="shared" si="2"/>
        <v>1.36988221112212E-2</v>
      </c>
    </row>
    <row r="150" spans="1:8" x14ac:dyDescent="0.3">
      <c r="A150" s="1">
        <v>42221</v>
      </c>
      <c r="B150" s="2">
        <v>45.68</v>
      </c>
      <c r="C150" s="2">
        <v>46.630001</v>
      </c>
      <c r="D150" s="2">
        <v>45.639999000000003</v>
      </c>
      <c r="E150" s="2">
        <v>46.389999000000003</v>
      </c>
      <c r="F150" s="3">
        <v>35.128627999999999</v>
      </c>
      <c r="G150" s="4">
        <v>1241900</v>
      </c>
      <c r="H150">
        <f t="shared" si="2"/>
        <v>1.7834291931491112E-2</v>
      </c>
    </row>
    <row r="151" spans="1:8" x14ac:dyDescent="0.3">
      <c r="A151" s="1">
        <v>42222</v>
      </c>
      <c r="B151" s="2">
        <v>46.220001000000003</v>
      </c>
      <c r="C151" s="2">
        <v>46.32</v>
      </c>
      <c r="D151" s="2">
        <v>44.919998</v>
      </c>
      <c r="E151" s="2">
        <v>45.349997999999999</v>
      </c>
      <c r="F151" s="3">
        <v>34.341087000000002</v>
      </c>
      <c r="G151" s="4">
        <v>1111700</v>
      </c>
      <c r="H151">
        <f t="shared" si="2"/>
        <v>-2.2673764747570938E-2</v>
      </c>
    </row>
    <row r="152" spans="1:8" x14ac:dyDescent="0.3">
      <c r="A152" s="1">
        <v>42223</v>
      </c>
      <c r="B152" s="2">
        <v>45.34</v>
      </c>
      <c r="C152" s="2">
        <v>45.41</v>
      </c>
      <c r="D152" s="2">
        <v>44.650002000000001</v>
      </c>
      <c r="E152" s="2">
        <v>45.169998</v>
      </c>
      <c r="F152" s="3">
        <v>34.204783999999997</v>
      </c>
      <c r="G152" s="4">
        <v>947100</v>
      </c>
      <c r="H152">
        <f t="shared" si="2"/>
        <v>-3.9770270703746065E-3</v>
      </c>
    </row>
    <row r="153" spans="1:8" x14ac:dyDescent="0.3">
      <c r="A153" s="1">
        <v>42226</v>
      </c>
      <c r="B153" s="2">
        <v>45.880001</v>
      </c>
      <c r="C153" s="2">
        <v>46.040000999999997</v>
      </c>
      <c r="D153" s="2">
        <v>45.34</v>
      </c>
      <c r="E153" s="2">
        <v>45.810001</v>
      </c>
      <c r="F153" s="3">
        <v>34.689419000000001</v>
      </c>
      <c r="G153" s="4">
        <v>1216200</v>
      </c>
      <c r="H153">
        <f t="shared" si="2"/>
        <v>1.4069324338608665E-2</v>
      </c>
    </row>
    <row r="154" spans="1:8" x14ac:dyDescent="0.3">
      <c r="A154" s="1">
        <v>42227</v>
      </c>
      <c r="B154" s="2">
        <v>45.43</v>
      </c>
      <c r="C154" s="2">
        <v>45.799999</v>
      </c>
      <c r="D154" s="2">
        <v>45</v>
      </c>
      <c r="E154" s="2">
        <v>45.720001000000003</v>
      </c>
      <c r="F154" s="3">
        <v>34.621268999999998</v>
      </c>
      <c r="G154" s="4">
        <v>1247200</v>
      </c>
      <c r="H154">
        <f t="shared" si="2"/>
        <v>-1.9665689290697102E-3</v>
      </c>
    </row>
    <row r="155" spans="1:8" x14ac:dyDescent="0.3">
      <c r="A155" s="1">
        <v>42228</v>
      </c>
      <c r="B155" s="2">
        <v>45.330002</v>
      </c>
      <c r="C155" s="2">
        <v>45.889999000000003</v>
      </c>
      <c r="D155" s="2">
        <v>44.630001</v>
      </c>
      <c r="E155" s="2">
        <v>45.619999</v>
      </c>
      <c r="F155" s="3">
        <v>34.545544</v>
      </c>
      <c r="G155" s="4">
        <v>1276100</v>
      </c>
      <c r="H155">
        <f t="shared" si="2"/>
        <v>-2.1896658628443948E-3</v>
      </c>
    </row>
    <row r="156" spans="1:8" x14ac:dyDescent="0.3">
      <c r="A156" s="1">
        <v>42229</v>
      </c>
      <c r="B156" s="2">
        <v>45.650002000000001</v>
      </c>
      <c r="C156" s="2">
        <v>46.869999</v>
      </c>
      <c r="D156" s="2">
        <v>45.59</v>
      </c>
      <c r="E156" s="2">
        <v>46.099997999999999</v>
      </c>
      <c r="F156" s="3">
        <v>34.909022999999998</v>
      </c>
      <c r="G156" s="4">
        <v>1101600</v>
      </c>
      <c r="H156">
        <f t="shared" si="2"/>
        <v>1.046671168262257E-2</v>
      </c>
    </row>
    <row r="157" spans="1:8" x14ac:dyDescent="0.3">
      <c r="A157" s="1">
        <v>42230</v>
      </c>
      <c r="B157" s="2">
        <v>46.549999</v>
      </c>
      <c r="C157" s="2">
        <v>47.830002</v>
      </c>
      <c r="D157" s="2">
        <v>46.549999</v>
      </c>
      <c r="E157" s="2">
        <v>47.439999</v>
      </c>
      <c r="F157" s="3">
        <v>35.923729000000002</v>
      </c>
      <c r="G157" s="4">
        <v>2436900</v>
      </c>
      <c r="H157">
        <f t="shared" si="2"/>
        <v>2.8652826991557884E-2</v>
      </c>
    </row>
    <row r="158" spans="1:8" x14ac:dyDescent="0.3">
      <c r="A158" s="1">
        <v>42233</v>
      </c>
      <c r="B158" s="2">
        <v>47.439999</v>
      </c>
      <c r="C158" s="2">
        <v>47.470001000000003</v>
      </c>
      <c r="D158" s="2">
        <v>46.459999000000003</v>
      </c>
      <c r="E158" s="2">
        <v>46.950001</v>
      </c>
      <c r="F158" s="3">
        <v>35.552689000000001</v>
      </c>
      <c r="G158" s="4">
        <v>1085600</v>
      </c>
      <c r="H158">
        <f t="shared" si="2"/>
        <v>-1.0382506656685548E-2</v>
      </c>
    </row>
    <row r="159" spans="1:8" x14ac:dyDescent="0.3">
      <c r="A159" s="1">
        <v>42234</v>
      </c>
      <c r="B159" s="2">
        <v>47.040000999999997</v>
      </c>
      <c r="C159" s="2">
        <v>47.709999000000003</v>
      </c>
      <c r="D159" s="2">
        <v>46.900002000000001</v>
      </c>
      <c r="E159" s="2">
        <v>46.990001999999997</v>
      </c>
      <c r="F159" s="3">
        <v>35.582970000000003</v>
      </c>
      <c r="G159" s="4">
        <v>1619000</v>
      </c>
      <c r="H159">
        <f t="shared" si="2"/>
        <v>8.5162872344453442E-4</v>
      </c>
    </row>
    <row r="160" spans="1:8" x14ac:dyDescent="0.3">
      <c r="A160" s="1">
        <v>42235</v>
      </c>
      <c r="B160" s="2">
        <v>46.830002</v>
      </c>
      <c r="C160" s="2">
        <v>47.169998</v>
      </c>
      <c r="D160" s="2">
        <v>45.740001999999997</v>
      </c>
      <c r="E160" s="2">
        <v>46.450001</v>
      </c>
      <c r="F160" s="3">
        <v>35.174056999999998</v>
      </c>
      <c r="G160" s="4">
        <v>1754000</v>
      </c>
      <c r="H160">
        <f t="shared" si="2"/>
        <v>-1.1558368888598109E-2</v>
      </c>
    </row>
    <row r="161" spans="1:8" x14ac:dyDescent="0.3">
      <c r="A161" s="1">
        <v>42236</v>
      </c>
      <c r="B161" s="2">
        <v>45.66</v>
      </c>
      <c r="C161" s="2">
        <v>46</v>
      </c>
      <c r="D161" s="2">
        <v>45.189999</v>
      </c>
      <c r="E161" s="2">
        <v>45.23</v>
      </c>
      <c r="F161" s="3">
        <v>34.250225</v>
      </c>
      <c r="G161" s="4">
        <v>1508000</v>
      </c>
      <c r="H161">
        <f t="shared" si="2"/>
        <v>-2.6615903298620892E-2</v>
      </c>
    </row>
    <row r="162" spans="1:8" x14ac:dyDescent="0.3">
      <c r="A162" s="1">
        <v>42237</v>
      </c>
      <c r="B162" s="2">
        <v>44.77</v>
      </c>
      <c r="C162" s="2">
        <v>46.110000999999997</v>
      </c>
      <c r="D162" s="2">
        <v>44.639999000000003</v>
      </c>
      <c r="E162" s="2">
        <v>44.830002</v>
      </c>
      <c r="F162" s="3">
        <v>33.947327000000001</v>
      </c>
      <c r="G162" s="4">
        <v>2025200</v>
      </c>
      <c r="H162">
        <f t="shared" si="2"/>
        <v>-8.882980709422169E-3</v>
      </c>
    </row>
    <row r="163" spans="1:8" x14ac:dyDescent="0.3">
      <c r="A163" s="1">
        <v>42240</v>
      </c>
      <c r="B163" s="2">
        <v>41.860000999999997</v>
      </c>
      <c r="C163" s="2">
        <v>44.150002000000001</v>
      </c>
      <c r="D163" s="2">
        <v>38.659999999999997</v>
      </c>
      <c r="E163" s="2">
        <v>42.959999000000003</v>
      </c>
      <c r="F163" s="3">
        <v>32.531272999999999</v>
      </c>
      <c r="G163" s="4">
        <v>2312700</v>
      </c>
      <c r="H163">
        <f t="shared" si="2"/>
        <v>-4.2608175857187902E-2</v>
      </c>
    </row>
    <row r="164" spans="1:8" x14ac:dyDescent="0.3">
      <c r="A164" s="1">
        <v>42241</v>
      </c>
      <c r="B164" s="2">
        <v>44.080002</v>
      </c>
      <c r="C164" s="2">
        <v>44.68</v>
      </c>
      <c r="D164" s="2">
        <v>43.27</v>
      </c>
      <c r="E164" s="2">
        <v>43.889999000000003</v>
      </c>
      <c r="F164" s="3">
        <v>33.235512</v>
      </c>
      <c r="G164" s="4">
        <v>4730100</v>
      </c>
      <c r="H164">
        <f t="shared" si="2"/>
        <v>2.1417053992767384E-2</v>
      </c>
    </row>
    <row r="165" spans="1:8" x14ac:dyDescent="0.3">
      <c r="A165" s="1">
        <v>42242</v>
      </c>
      <c r="B165" s="2">
        <v>44.68</v>
      </c>
      <c r="C165" s="2">
        <v>45.529998999999997</v>
      </c>
      <c r="D165" s="2">
        <v>44.029998999999997</v>
      </c>
      <c r="E165" s="2">
        <v>45.360000999999997</v>
      </c>
      <c r="F165" s="3">
        <v>34.348660000000002</v>
      </c>
      <c r="G165" s="4">
        <v>3783600</v>
      </c>
      <c r="H165">
        <f t="shared" si="2"/>
        <v>3.2944200549442491E-2</v>
      </c>
    </row>
    <row r="166" spans="1:8" x14ac:dyDescent="0.3">
      <c r="A166" s="1">
        <v>42243</v>
      </c>
      <c r="B166" s="2">
        <v>46.209999000000003</v>
      </c>
      <c r="C166" s="2">
        <v>47</v>
      </c>
      <c r="D166" s="2">
        <v>45.439999</v>
      </c>
      <c r="E166" s="2">
        <v>46.200001</v>
      </c>
      <c r="F166" s="3">
        <v>34.984749000000001</v>
      </c>
      <c r="G166" s="4">
        <v>2919900</v>
      </c>
      <c r="H166">
        <f t="shared" si="2"/>
        <v>1.8349138267362921E-2</v>
      </c>
    </row>
    <row r="167" spans="1:8" x14ac:dyDescent="0.3">
      <c r="A167" s="1">
        <v>42244</v>
      </c>
      <c r="B167" s="2">
        <v>44.66</v>
      </c>
      <c r="C167" s="2">
        <v>44.939999</v>
      </c>
      <c r="D167" s="2">
        <v>41.540000999999997</v>
      </c>
      <c r="E167" s="2">
        <v>42.490001999999997</v>
      </c>
      <c r="F167" s="3">
        <v>32.175369000000003</v>
      </c>
      <c r="G167" s="4">
        <v>8430500</v>
      </c>
      <c r="H167">
        <f t="shared" si="2"/>
        <v>-8.3711018536096735E-2</v>
      </c>
    </row>
    <row r="168" spans="1:8" x14ac:dyDescent="0.3">
      <c r="A168" s="1">
        <v>42247</v>
      </c>
      <c r="B168" s="2">
        <v>42.27</v>
      </c>
      <c r="C168" s="2">
        <v>42.610000999999997</v>
      </c>
      <c r="D168" s="2">
        <v>41.549999</v>
      </c>
      <c r="E168" s="2">
        <v>42.48</v>
      </c>
      <c r="F168" s="3">
        <v>32.167797</v>
      </c>
      <c r="G168" s="4">
        <v>2465300</v>
      </c>
      <c r="H168">
        <f t="shared" si="2"/>
        <v>-2.3542426293454813E-4</v>
      </c>
    </row>
    <row r="169" spans="1:8" x14ac:dyDescent="0.3">
      <c r="A169" s="1">
        <v>42248</v>
      </c>
      <c r="B169" s="2">
        <v>41.529998999999997</v>
      </c>
      <c r="C169" s="2">
        <v>42.150002000000001</v>
      </c>
      <c r="D169" s="2">
        <v>40.720001000000003</v>
      </c>
      <c r="E169" s="2">
        <v>41.18</v>
      </c>
      <c r="F169" s="3">
        <v>31.183375999999999</v>
      </c>
      <c r="G169" s="4">
        <v>2338600</v>
      </c>
      <c r="H169">
        <f t="shared" si="2"/>
        <v>-3.1080675334039933E-2</v>
      </c>
    </row>
    <row r="170" spans="1:8" x14ac:dyDescent="0.3">
      <c r="A170" s="1">
        <v>42249</v>
      </c>
      <c r="B170" s="2">
        <v>41.68</v>
      </c>
      <c r="C170" s="2">
        <v>42.080002</v>
      </c>
      <c r="D170" s="2">
        <v>41.119999</v>
      </c>
      <c r="E170" s="2">
        <v>41.810001</v>
      </c>
      <c r="F170" s="3">
        <v>31.660442</v>
      </c>
      <c r="G170" s="4">
        <v>2536900</v>
      </c>
      <c r="H170">
        <f t="shared" si="2"/>
        <v>1.5182867686553062E-2</v>
      </c>
    </row>
    <row r="171" spans="1:8" x14ac:dyDescent="0.3">
      <c r="A171" s="1">
        <v>42250</v>
      </c>
      <c r="B171" s="2">
        <v>42</v>
      </c>
      <c r="C171" s="2">
        <v>42.779998999999997</v>
      </c>
      <c r="D171" s="2">
        <v>41.540000999999997</v>
      </c>
      <c r="E171" s="2">
        <v>41.709999000000003</v>
      </c>
      <c r="F171" s="3">
        <v>31.584713000000001</v>
      </c>
      <c r="G171" s="4">
        <v>2093200</v>
      </c>
      <c r="H171">
        <f t="shared" si="2"/>
        <v>-2.3946850524086678E-3</v>
      </c>
    </row>
    <row r="172" spans="1:8" x14ac:dyDescent="0.3">
      <c r="A172" s="1">
        <v>42251</v>
      </c>
      <c r="B172" s="2">
        <v>41.200001</v>
      </c>
      <c r="C172" s="2">
        <v>41.560001</v>
      </c>
      <c r="D172" s="2">
        <v>40.709999000000003</v>
      </c>
      <c r="E172" s="2">
        <v>41.25</v>
      </c>
      <c r="F172" s="3">
        <v>31.508329</v>
      </c>
      <c r="G172" s="4">
        <v>1531900</v>
      </c>
      <c r="H172">
        <f t="shared" si="2"/>
        <v>-1.1089771453097771E-2</v>
      </c>
    </row>
    <row r="173" spans="1:8" x14ac:dyDescent="0.3">
      <c r="A173" s="1">
        <v>42255</v>
      </c>
      <c r="B173" s="2">
        <v>41.970001000000003</v>
      </c>
      <c r="C173" s="2">
        <v>41.970001000000003</v>
      </c>
      <c r="D173" s="2">
        <v>40.759998000000003</v>
      </c>
      <c r="E173" s="2">
        <v>41.790000999999997</v>
      </c>
      <c r="F173" s="3">
        <v>31.920811</v>
      </c>
      <c r="G173" s="4">
        <v>2177000</v>
      </c>
      <c r="H173">
        <f t="shared" si="2"/>
        <v>1.3005987608303403E-2</v>
      </c>
    </row>
    <row r="174" spans="1:8" x14ac:dyDescent="0.3">
      <c r="A174" s="1">
        <v>42256</v>
      </c>
      <c r="B174" s="2">
        <v>42.029998999999997</v>
      </c>
      <c r="C174" s="2">
        <v>42.240001999999997</v>
      </c>
      <c r="D174" s="2">
        <v>41.650002000000001</v>
      </c>
      <c r="E174" s="2">
        <v>41.790000999999997</v>
      </c>
      <c r="F174" s="3">
        <v>31.920811</v>
      </c>
      <c r="G174" s="4">
        <v>1468700</v>
      </c>
      <c r="H174">
        <f t="shared" si="2"/>
        <v>0</v>
      </c>
    </row>
    <row r="175" spans="1:8" x14ac:dyDescent="0.3">
      <c r="A175" s="1">
        <v>42257</v>
      </c>
      <c r="B175" s="2">
        <v>41.66</v>
      </c>
      <c r="C175" s="2">
        <v>42.889999000000003</v>
      </c>
      <c r="D175" s="2">
        <v>41.5</v>
      </c>
      <c r="E175" s="2">
        <v>42.349997999999999</v>
      </c>
      <c r="F175" s="3">
        <v>32.348548999999998</v>
      </c>
      <c r="G175" s="4">
        <v>1433300</v>
      </c>
      <c r="H175">
        <f t="shared" si="2"/>
        <v>1.3311273483567282E-2</v>
      </c>
    </row>
    <row r="176" spans="1:8" x14ac:dyDescent="0.3">
      <c r="A176" s="1">
        <v>42258</v>
      </c>
      <c r="B176" s="2">
        <v>42.23</v>
      </c>
      <c r="C176" s="2">
        <v>42.869999</v>
      </c>
      <c r="D176" s="2">
        <v>41.68</v>
      </c>
      <c r="E176" s="2">
        <v>42.779998999999997</v>
      </c>
      <c r="F176" s="3">
        <v>32.677002000000002</v>
      </c>
      <c r="G176" s="4">
        <v>1515400</v>
      </c>
      <c r="H176">
        <f t="shared" si="2"/>
        <v>1.0102306406289742E-2</v>
      </c>
    </row>
    <row r="177" spans="1:8" x14ac:dyDescent="0.3">
      <c r="A177" s="1">
        <v>42261</v>
      </c>
      <c r="B177" s="2">
        <v>42.84</v>
      </c>
      <c r="C177" s="2">
        <v>43.200001</v>
      </c>
      <c r="D177" s="2">
        <v>42.259998000000003</v>
      </c>
      <c r="E177" s="2">
        <v>43.169998</v>
      </c>
      <c r="F177" s="3">
        <v>32.974894999999997</v>
      </c>
      <c r="G177" s="4">
        <v>1409700</v>
      </c>
      <c r="H177">
        <f t="shared" si="2"/>
        <v>9.0750829600660266E-3</v>
      </c>
    </row>
    <row r="178" spans="1:8" x14ac:dyDescent="0.3">
      <c r="A178" s="1">
        <v>42262</v>
      </c>
      <c r="B178" s="2">
        <v>43.259998000000003</v>
      </c>
      <c r="C178" s="2">
        <v>43.32</v>
      </c>
      <c r="D178" s="2">
        <v>42.759998000000003</v>
      </c>
      <c r="E178" s="2">
        <v>43</v>
      </c>
      <c r="F178" s="3">
        <v>32.845042999999997</v>
      </c>
      <c r="G178" s="4">
        <v>1124600</v>
      </c>
      <c r="H178">
        <f t="shared" si="2"/>
        <v>-3.945647545353829E-3</v>
      </c>
    </row>
    <row r="179" spans="1:8" x14ac:dyDescent="0.3">
      <c r="A179" s="1">
        <v>42263</v>
      </c>
      <c r="B179" s="2">
        <v>42.950001</v>
      </c>
      <c r="C179" s="2">
        <v>44.150002000000001</v>
      </c>
      <c r="D179" s="2">
        <v>42.900002000000001</v>
      </c>
      <c r="E179" s="2">
        <v>43.98</v>
      </c>
      <c r="F179" s="3">
        <v>33.593609000000001</v>
      </c>
      <c r="G179" s="4">
        <v>1539800</v>
      </c>
      <c r="H179">
        <f t="shared" si="2"/>
        <v>2.2534869433052645E-2</v>
      </c>
    </row>
    <row r="180" spans="1:8" x14ac:dyDescent="0.3">
      <c r="A180" s="1">
        <v>42264</v>
      </c>
      <c r="B180" s="2">
        <v>43.990001999999997</v>
      </c>
      <c r="C180" s="2">
        <v>44.43</v>
      </c>
      <c r="D180" s="2">
        <v>42.869999</v>
      </c>
      <c r="E180" s="2">
        <v>43.610000999999997</v>
      </c>
      <c r="F180" s="3">
        <v>33.310986</v>
      </c>
      <c r="G180" s="4">
        <v>1699100</v>
      </c>
      <c r="H180">
        <f t="shared" si="2"/>
        <v>-8.4484803414198104E-3</v>
      </c>
    </row>
    <row r="181" spans="1:8" x14ac:dyDescent="0.3">
      <c r="A181" s="1">
        <v>42265</v>
      </c>
      <c r="B181" s="2">
        <v>43.150002000000001</v>
      </c>
      <c r="C181" s="2">
        <v>43.580002</v>
      </c>
      <c r="D181" s="2">
        <v>42.23</v>
      </c>
      <c r="E181" s="2">
        <v>42.27</v>
      </c>
      <c r="F181" s="3">
        <v>32.287444999999998</v>
      </c>
      <c r="G181" s="4">
        <v>2062600</v>
      </c>
      <c r="H181">
        <f t="shared" si="2"/>
        <v>-3.1208890206496701E-2</v>
      </c>
    </row>
    <row r="182" spans="1:8" x14ac:dyDescent="0.3">
      <c r="A182" s="1">
        <v>42268</v>
      </c>
      <c r="B182" s="2">
        <v>42.720001000000003</v>
      </c>
      <c r="C182" s="2">
        <v>42.830002</v>
      </c>
      <c r="D182" s="2">
        <v>41.439999</v>
      </c>
      <c r="E182" s="2">
        <v>41.720001000000003</v>
      </c>
      <c r="F182" s="3">
        <v>31.867339999999999</v>
      </c>
      <c r="G182" s="4">
        <v>1655000</v>
      </c>
      <c r="H182">
        <f t="shared" si="2"/>
        <v>-1.3096960476807841E-2</v>
      </c>
    </row>
    <row r="183" spans="1:8" x14ac:dyDescent="0.3">
      <c r="A183" s="1">
        <v>42269</v>
      </c>
      <c r="B183" s="2">
        <v>41.259998000000003</v>
      </c>
      <c r="C183" s="2">
        <v>41.759998000000003</v>
      </c>
      <c r="D183" s="2">
        <v>41.009998000000003</v>
      </c>
      <c r="E183" s="2">
        <v>41.349997999999999</v>
      </c>
      <c r="F183" s="3">
        <v>31.584717000000001</v>
      </c>
      <c r="G183" s="4">
        <v>1000700</v>
      </c>
      <c r="H183">
        <f t="shared" si="2"/>
        <v>-8.9082809997853719E-3</v>
      </c>
    </row>
    <row r="184" spans="1:8" x14ac:dyDescent="0.3">
      <c r="A184" s="1">
        <v>42270</v>
      </c>
      <c r="B184" s="2">
        <v>41.220001000000003</v>
      </c>
      <c r="C184" s="2">
        <v>41.580002</v>
      </c>
      <c r="D184" s="2">
        <v>40.650002000000001</v>
      </c>
      <c r="E184" s="2">
        <v>41.080002</v>
      </c>
      <c r="F184" s="3">
        <v>31.378488999999998</v>
      </c>
      <c r="G184" s="4">
        <v>785200</v>
      </c>
      <c r="H184">
        <f t="shared" si="2"/>
        <v>-6.5509393562574432E-3</v>
      </c>
    </row>
    <row r="185" spans="1:8" x14ac:dyDescent="0.3">
      <c r="A185" s="1">
        <v>42271</v>
      </c>
      <c r="B185" s="2">
        <v>40.740001999999997</v>
      </c>
      <c r="C185" s="2">
        <v>41.490001999999997</v>
      </c>
      <c r="D185" s="2">
        <v>40.610000999999997</v>
      </c>
      <c r="E185" s="2">
        <v>41.200001</v>
      </c>
      <c r="F185" s="3">
        <v>31.470141999999999</v>
      </c>
      <c r="G185" s="4">
        <v>1364200</v>
      </c>
      <c r="H185">
        <f t="shared" si="2"/>
        <v>2.916846881477142E-3</v>
      </c>
    </row>
    <row r="186" spans="1:8" x14ac:dyDescent="0.3">
      <c r="A186" s="1">
        <v>42272</v>
      </c>
      <c r="B186" s="2">
        <v>41.310001</v>
      </c>
      <c r="C186" s="2">
        <v>41.860000999999997</v>
      </c>
      <c r="D186" s="2">
        <v>40.450001</v>
      </c>
      <c r="E186" s="2">
        <v>41</v>
      </c>
      <c r="F186" s="3">
        <v>31.317374999999998</v>
      </c>
      <c r="G186" s="4">
        <v>1665700</v>
      </c>
      <c r="H186">
        <f t="shared" si="2"/>
        <v>-4.8662139230172419E-3</v>
      </c>
    </row>
    <row r="187" spans="1:8" x14ac:dyDescent="0.3">
      <c r="A187" s="1">
        <v>42275</v>
      </c>
      <c r="B187" s="2">
        <v>40.840000000000003</v>
      </c>
      <c r="C187" s="2">
        <v>41.07</v>
      </c>
      <c r="D187" s="2">
        <v>39.939999</v>
      </c>
      <c r="E187" s="2">
        <v>40.299999</v>
      </c>
      <c r="F187" s="3">
        <v>30.782686000000002</v>
      </c>
      <c r="G187" s="4">
        <v>1713200</v>
      </c>
      <c r="H187">
        <f t="shared" si="2"/>
        <v>-1.7220622565566644E-2</v>
      </c>
    </row>
    <row r="188" spans="1:8" x14ac:dyDescent="0.3">
      <c r="A188" s="1">
        <v>42276</v>
      </c>
      <c r="B188" s="2">
        <v>40.200001</v>
      </c>
      <c r="C188" s="2">
        <v>40.909999999999997</v>
      </c>
      <c r="D188" s="2">
        <v>39.659999999999997</v>
      </c>
      <c r="E188" s="2">
        <v>40.43</v>
      </c>
      <c r="F188" s="3">
        <v>30.881981</v>
      </c>
      <c r="G188" s="4">
        <v>2108000</v>
      </c>
      <c r="H188">
        <f t="shared" si="2"/>
        <v>3.2206395139383745E-3</v>
      </c>
    </row>
    <row r="189" spans="1:8" x14ac:dyDescent="0.3">
      <c r="A189" s="1">
        <v>42277</v>
      </c>
      <c r="B189" s="2">
        <v>41.009998000000003</v>
      </c>
      <c r="C189" s="2">
        <v>41.32</v>
      </c>
      <c r="D189" s="2">
        <v>40.610000999999997</v>
      </c>
      <c r="E189" s="2">
        <v>41.209999000000003</v>
      </c>
      <c r="F189" s="3">
        <v>31.477779000000002</v>
      </c>
      <c r="G189" s="4">
        <v>1716600</v>
      </c>
      <c r="H189">
        <f t="shared" si="2"/>
        <v>1.9108837432091366E-2</v>
      </c>
    </row>
    <row r="190" spans="1:8" x14ac:dyDescent="0.3">
      <c r="A190" s="1">
        <v>42278</v>
      </c>
      <c r="B190" s="2">
        <v>41.299999</v>
      </c>
      <c r="C190" s="2">
        <v>41.630001</v>
      </c>
      <c r="D190" s="2">
        <v>39.810001</v>
      </c>
      <c r="E190" s="2">
        <v>40.520000000000003</v>
      </c>
      <c r="F190" s="3">
        <v>30.950728999999999</v>
      </c>
      <c r="G190" s="4">
        <v>1958400</v>
      </c>
      <c r="H190">
        <f t="shared" si="2"/>
        <v>-1.6885241704288172E-2</v>
      </c>
    </row>
    <row r="191" spans="1:8" x14ac:dyDescent="0.3">
      <c r="A191" s="1">
        <v>42279</v>
      </c>
      <c r="B191" s="2">
        <v>40.279998999999997</v>
      </c>
      <c r="C191" s="2">
        <v>41.549999</v>
      </c>
      <c r="D191" s="2">
        <v>40.009998000000003</v>
      </c>
      <c r="E191" s="2">
        <v>41.5</v>
      </c>
      <c r="F191" s="3">
        <v>31.699287000000002</v>
      </c>
      <c r="G191" s="4">
        <v>1491600</v>
      </c>
      <c r="H191">
        <f t="shared" si="2"/>
        <v>2.3897747856169885E-2</v>
      </c>
    </row>
    <row r="192" spans="1:8" x14ac:dyDescent="0.3">
      <c r="A192" s="1">
        <v>42282</v>
      </c>
      <c r="B192" s="2">
        <v>41.599997999999999</v>
      </c>
      <c r="C192" s="2">
        <v>42.639999000000003</v>
      </c>
      <c r="D192" s="2">
        <v>41.529998999999997</v>
      </c>
      <c r="E192" s="2">
        <v>42.48</v>
      </c>
      <c r="F192" s="3">
        <v>32.447848999999998</v>
      </c>
      <c r="G192" s="4">
        <v>1917900</v>
      </c>
      <c r="H192">
        <f t="shared" si="2"/>
        <v>2.3339949697030796E-2</v>
      </c>
    </row>
    <row r="193" spans="1:8" x14ac:dyDescent="0.3">
      <c r="A193" s="1">
        <v>42283</v>
      </c>
      <c r="B193" s="2">
        <v>42.439999</v>
      </c>
      <c r="C193" s="2">
        <v>43.48</v>
      </c>
      <c r="D193" s="2">
        <v>42.41</v>
      </c>
      <c r="E193" s="2">
        <v>43.34</v>
      </c>
      <c r="F193" s="3">
        <v>33.104751999999998</v>
      </c>
      <c r="G193" s="4">
        <v>1879500</v>
      </c>
      <c r="H193">
        <f t="shared" si="2"/>
        <v>2.0042619174529642E-2</v>
      </c>
    </row>
    <row r="194" spans="1:8" x14ac:dyDescent="0.3">
      <c r="A194" s="1">
        <v>42284</v>
      </c>
      <c r="B194" s="2">
        <v>43.43</v>
      </c>
      <c r="C194" s="2">
        <v>43.810001</v>
      </c>
      <c r="D194" s="2">
        <v>42.619999</v>
      </c>
      <c r="E194" s="2">
        <v>43.439999</v>
      </c>
      <c r="F194" s="3">
        <v>33.181137</v>
      </c>
      <c r="G194" s="4">
        <v>1225400</v>
      </c>
      <c r="H194">
        <f t="shared" si="2"/>
        <v>2.3046564972088045E-3</v>
      </c>
    </row>
    <row r="195" spans="1:8" x14ac:dyDescent="0.3">
      <c r="A195" s="1">
        <v>42285</v>
      </c>
      <c r="B195" s="2">
        <v>43.040000999999997</v>
      </c>
      <c r="C195" s="2">
        <v>44.34</v>
      </c>
      <c r="D195" s="2">
        <v>43.040000999999997</v>
      </c>
      <c r="E195" s="2">
        <v>43.98</v>
      </c>
      <c r="F195" s="3">
        <v>33.593609000000001</v>
      </c>
      <c r="G195" s="4">
        <v>1134100</v>
      </c>
      <c r="H195">
        <f t="shared" si="2"/>
        <v>1.2354332521193162E-2</v>
      </c>
    </row>
    <row r="196" spans="1:8" x14ac:dyDescent="0.3">
      <c r="A196" s="1">
        <v>42286</v>
      </c>
      <c r="B196" s="2">
        <v>43.720001000000003</v>
      </c>
      <c r="C196" s="2">
        <v>44.459999000000003</v>
      </c>
      <c r="D196" s="2">
        <v>43.459999000000003</v>
      </c>
      <c r="E196" s="2">
        <v>44.41</v>
      </c>
      <c r="F196" s="3">
        <v>33.922066000000001</v>
      </c>
      <c r="G196" s="4">
        <v>956200</v>
      </c>
      <c r="H196">
        <f t="shared" ref="H196:H259" si="3">LN(E196/E195)</f>
        <v>9.7296841773958538E-3</v>
      </c>
    </row>
    <row r="197" spans="1:8" x14ac:dyDescent="0.3">
      <c r="A197" s="1">
        <v>42289</v>
      </c>
      <c r="B197" s="2">
        <v>44.279998999999997</v>
      </c>
      <c r="C197" s="2">
        <v>44.639999000000003</v>
      </c>
      <c r="D197" s="2">
        <v>43.84</v>
      </c>
      <c r="E197" s="2">
        <v>43.939999</v>
      </c>
      <c r="F197" s="3">
        <v>33.563060999999998</v>
      </c>
      <c r="G197" s="4">
        <v>747900</v>
      </c>
      <c r="H197">
        <f t="shared" si="3"/>
        <v>-1.0639625105853709E-2</v>
      </c>
    </row>
    <row r="198" spans="1:8" x14ac:dyDescent="0.3">
      <c r="A198" s="1">
        <v>42290</v>
      </c>
      <c r="B198" s="2">
        <v>43.709999000000003</v>
      </c>
      <c r="C198" s="2">
        <v>44.16</v>
      </c>
      <c r="D198" s="2">
        <v>43.400002000000001</v>
      </c>
      <c r="E198" s="2">
        <v>43.52</v>
      </c>
      <c r="F198" s="3">
        <v>33.242244999999997</v>
      </c>
      <c r="G198" s="4">
        <v>810500</v>
      </c>
      <c r="H198">
        <f t="shared" si="3"/>
        <v>-9.6044416504698481E-3</v>
      </c>
    </row>
    <row r="199" spans="1:8" x14ac:dyDescent="0.3">
      <c r="A199" s="1">
        <v>42291</v>
      </c>
      <c r="B199" s="2">
        <v>43.459999000000003</v>
      </c>
      <c r="C199" s="2">
        <v>43.720001000000003</v>
      </c>
      <c r="D199" s="2">
        <v>42.73</v>
      </c>
      <c r="E199" s="2">
        <v>43.049999</v>
      </c>
      <c r="F199" s="3">
        <v>32.883240000000001</v>
      </c>
      <c r="G199" s="4">
        <v>756900</v>
      </c>
      <c r="H199">
        <f t="shared" si="3"/>
        <v>-1.0858394902751466E-2</v>
      </c>
    </row>
    <row r="200" spans="1:8" x14ac:dyDescent="0.3">
      <c r="A200" s="1">
        <v>42292</v>
      </c>
      <c r="B200" s="2">
        <v>43.259998000000003</v>
      </c>
      <c r="C200" s="2">
        <v>43.970001000000003</v>
      </c>
      <c r="D200" s="2">
        <v>42.849997999999999</v>
      </c>
      <c r="E200" s="2">
        <v>43.93</v>
      </c>
      <c r="F200" s="3">
        <v>33.555419999999998</v>
      </c>
      <c r="G200" s="4">
        <v>880500</v>
      </c>
      <c r="H200">
        <f t="shared" si="3"/>
        <v>2.023525034275242E-2</v>
      </c>
    </row>
    <row r="201" spans="1:8" x14ac:dyDescent="0.3">
      <c r="A201" s="1">
        <v>42293</v>
      </c>
      <c r="B201" s="2">
        <v>44.279998999999997</v>
      </c>
      <c r="C201" s="2">
        <v>44.490001999999997</v>
      </c>
      <c r="D201" s="2">
        <v>43.59</v>
      </c>
      <c r="E201" s="2">
        <v>44.459999000000003</v>
      </c>
      <c r="F201" s="3">
        <v>33.960251</v>
      </c>
      <c r="G201" s="4">
        <v>898500</v>
      </c>
      <c r="H201">
        <f t="shared" si="3"/>
        <v>1.1992428056234412E-2</v>
      </c>
    </row>
    <row r="202" spans="1:8" x14ac:dyDescent="0.3">
      <c r="A202" s="1">
        <v>42296</v>
      </c>
      <c r="B202" s="2">
        <v>44.459999000000003</v>
      </c>
      <c r="C202" s="2">
        <v>44.939999</v>
      </c>
      <c r="D202" s="2">
        <v>44.009998000000003</v>
      </c>
      <c r="E202" s="2">
        <v>44.720001000000003</v>
      </c>
      <c r="F202" s="3">
        <v>34.158847999999999</v>
      </c>
      <c r="G202" s="4">
        <v>761600</v>
      </c>
      <c r="H202">
        <f t="shared" si="3"/>
        <v>5.8309651642805844E-3</v>
      </c>
    </row>
    <row r="203" spans="1:8" x14ac:dyDescent="0.3">
      <c r="A203" s="1">
        <v>42297</v>
      </c>
      <c r="B203" s="2">
        <v>44.779998999999997</v>
      </c>
      <c r="C203" s="2">
        <v>45.619999</v>
      </c>
      <c r="D203" s="2">
        <v>44.73</v>
      </c>
      <c r="E203" s="2">
        <v>45.099997999999999</v>
      </c>
      <c r="F203" s="3">
        <v>34.449108000000003</v>
      </c>
      <c r="G203" s="4">
        <v>1536200</v>
      </c>
      <c r="H203">
        <f t="shared" si="3"/>
        <v>8.4613509545305148E-3</v>
      </c>
    </row>
    <row r="204" spans="1:8" x14ac:dyDescent="0.3">
      <c r="A204" s="1">
        <v>42298</v>
      </c>
      <c r="B204" s="2">
        <v>45.279998999999997</v>
      </c>
      <c r="C204" s="2">
        <v>46.209999000000003</v>
      </c>
      <c r="D204" s="2">
        <v>45.130001</v>
      </c>
      <c r="E204" s="2">
        <v>46.040000999999997</v>
      </c>
      <c r="F204" s="3">
        <v>35.167113999999998</v>
      </c>
      <c r="G204" s="4">
        <v>1157900</v>
      </c>
      <c r="H204">
        <f t="shared" si="3"/>
        <v>2.062840341119123E-2</v>
      </c>
    </row>
    <row r="205" spans="1:8" x14ac:dyDescent="0.3">
      <c r="A205" s="1">
        <v>42299</v>
      </c>
      <c r="B205" s="2">
        <v>46.18</v>
      </c>
      <c r="C205" s="2">
        <v>47.27</v>
      </c>
      <c r="D205" s="2">
        <v>45.59</v>
      </c>
      <c r="E205" s="2">
        <v>46.98</v>
      </c>
      <c r="F205" s="3">
        <v>35.885128000000002</v>
      </c>
      <c r="G205" s="4">
        <v>1565500</v>
      </c>
      <c r="H205">
        <f t="shared" si="3"/>
        <v>2.0211373656841811E-2</v>
      </c>
    </row>
    <row r="206" spans="1:8" x14ac:dyDescent="0.3">
      <c r="A206" s="1">
        <v>42300</v>
      </c>
      <c r="B206" s="2">
        <v>47.619999</v>
      </c>
      <c r="C206" s="2">
        <v>47.619999</v>
      </c>
      <c r="D206" s="2">
        <v>45.09</v>
      </c>
      <c r="E206" s="2">
        <v>45.349997999999999</v>
      </c>
      <c r="F206" s="3">
        <v>34.640059999999998</v>
      </c>
      <c r="G206" s="4">
        <v>2302100</v>
      </c>
      <c r="H206">
        <f t="shared" si="3"/>
        <v>-3.5311846771055325E-2</v>
      </c>
    </row>
    <row r="207" spans="1:8" x14ac:dyDescent="0.3">
      <c r="A207" s="1">
        <v>42303</v>
      </c>
      <c r="B207" s="2">
        <v>45.369999</v>
      </c>
      <c r="C207" s="2">
        <v>45.529998999999997</v>
      </c>
      <c r="D207" s="2">
        <v>44.349997999999999</v>
      </c>
      <c r="E207" s="2">
        <v>44.669998</v>
      </c>
      <c r="F207" s="3">
        <v>34.120654999999999</v>
      </c>
      <c r="G207" s="4">
        <v>1464100</v>
      </c>
      <c r="H207">
        <f t="shared" si="3"/>
        <v>-1.5108041868463181E-2</v>
      </c>
    </row>
    <row r="208" spans="1:8" x14ac:dyDescent="0.3">
      <c r="A208" s="1">
        <v>42304</v>
      </c>
      <c r="B208" s="2">
        <v>44.720001000000003</v>
      </c>
      <c r="C208" s="2">
        <v>44.91</v>
      </c>
      <c r="D208" s="2">
        <v>43.549999</v>
      </c>
      <c r="E208" s="2">
        <v>44.25</v>
      </c>
      <c r="F208" s="3">
        <v>33.799854000000003</v>
      </c>
      <c r="G208" s="4">
        <v>1146000</v>
      </c>
      <c r="H208">
        <f t="shared" si="3"/>
        <v>-9.4467191373096438E-3</v>
      </c>
    </row>
    <row r="209" spans="1:8" x14ac:dyDescent="0.3">
      <c r="A209" s="1">
        <v>42305</v>
      </c>
      <c r="B209" s="2">
        <v>44.459999000000003</v>
      </c>
      <c r="C209" s="2">
        <v>45.689999</v>
      </c>
      <c r="D209" s="2">
        <v>44.290000999999997</v>
      </c>
      <c r="E209" s="2">
        <v>45.549999</v>
      </c>
      <c r="F209" s="3">
        <v>34.792834999999997</v>
      </c>
      <c r="G209" s="4">
        <v>908000</v>
      </c>
      <c r="H209">
        <f t="shared" si="3"/>
        <v>2.895523029813182E-2</v>
      </c>
    </row>
    <row r="210" spans="1:8" x14ac:dyDescent="0.3">
      <c r="A210" s="1">
        <v>42306</v>
      </c>
      <c r="B210" s="2">
        <v>45.639999000000003</v>
      </c>
      <c r="C210" s="2">
        <v>46.18</v>
      </c>
      <c r="D210" s="2">
        <v>45.369999</v>
      </c>
      <c r="E210" s="2">
        <v>45.709999000000003</v>
      </c>
      <c r="F210" s="3">
        <v>34.915039</v>
      </c>
      <c r="G210" s="4">
        <v>746100</v>
      </c>
      <c r="H210">
        <f t="shared" si="3"/>
        <v>3.5064687145315134E-3</v>
      </c>
    </row>
    <row r="211" spans="1:8" x14ac:dyDescent="0.3">
      <c r="A211" s="1">
        <v>42307</v>
      </c>
      <c r="B211" s="2">
        <v>45.919998</v>
      </c>
      <c r="C211" s="2">
        <v>46.549999</v>
      </c>
      <c r="D211" s="2">
        <v>45.57</v>
      </c>
      <c r="E211" s="2">
        <v>46.07</v>
      </c>
      <c r="F211" s="3">
        <v>35.190036999999997</v>
      </c>
      <c r="G211" s="4">
        <v>1219800</v>
      </c>
      <c r="H211">
        <f t="shared" si="3"/>
        <v>7.8449084812237165E-3</v>
      </c>
    </row>
    <row r="212" spans="1:8" x14ac:dyDescent="0.3">
      <c r="A212" s="1">
        <v>42310</v>
      </c>
      <c r="B212" s="2">
        <v>46.029998999999997</v>
      </c>
      <c r="C212" s="2">
        <v>46.490001999999997</v>
      </c>
      <c r="D212" s="2">
        <v>45.57</v>
      </c>
      <c r="E212" s="2">
        <v>46.18</v>
      </c>
      <c r="F212" s="3">
        <v>35.274054999999997</v>
      </c>
      <c r="G212" s="4">
        <v>955300</v>
      </c>
      <c r="H212">
        <f t="shared" si="3"/>
        <v>2.3848249785236278E-3</v>
      </c>
    </row>
    <row r="213" spans="1:8" x14ac:dyDescent="0.3">
      <c r="A213" s="1">
        <v>42311</v>
      </c>
      <c r="B213" s="2">
        <v>46.299999</v>
      </c>
      <c r="C213" s="2">
        <v>46.799999</v>
      </c>
      <c r="D213" s="2">
        <v>46.07</v>
      </c>
      <c r="E213" s="2">
        <v>46.75</v>
      </c>
      <c r="F213" s="3">
        <v>35.709442000000003</v>
      </c>
      <c r="G213" s="4">
        <v>1428300</v>
      </c>
      <c r="H213">
        <f t="shared" si="3"/>
        <v>1.2267451808346798E-2</v>
      </c>
    </row>
    <row r="214" spans="1:8" x14ac:dyDescent="0.3">
      <c r="A214" s="1">
        <v>42312</v>
      </c>
      <c r="B214" s="2">
        <v>46.73</v>
      </c>
      <c r="C214" s="2">
        <v>47.110000999999997</v>
      </c>
      <c r="D214" s="2">
        <v>46.619999</v>
      </c>
      <c r="E214" s="2">
        <v>46.849997999999999</v>
      </c>
      <c r="F214" s="3">
        <v>35.785831000000002</v>
      </c>
      <c r="G214" s="4">
        <v>1308900</v>
      </c>
      <c r="H214">
        <f t="shared" si="3"/>
        <v>2.1367102602999075E-3</v>
      </c>
    </row>
    <row r="215" spans="1:8" x14ac:dyDescent="0.3">
      <c r="A215" s="1">
        <v>42313</v>
      </c>
      <c r="B215" s="2">
        <v>46.950001</v>
      </c>
      <c r="C215" s="2">
        <v>47.16</v>
      </c>
      <c r="D215" s="2">
        <v>46.299999</v>
      </c>
      <c r="E215" s="2">
        <v>46.939999</v>
      </c>
      <c r="F215" s="3">
        <v>35.854568</v>
      </c>
      <c r="G215" s="4">
        <v>986900</v>
      </c>
      <c r="H215">
        <f t="shared" si="3"/>
        <v>1.9192031240891638E-3</v>
      </c>
    </row>
    <row r="216" spans="1:8" x14ac:dyDescent="0.3">
      <c r="A216" s="1">
        <v>42314</v>
      </c>
      <c r="B216" s="2">
        <v>46.75</v>
      </c>
      <c r="C216" s="2">
        <v>47.48</v>
      </c>
      <c r="D216" s="2">
        <v>46.349997999999999</v>
      </c>
      <c r="E216" s="2">
        <v>46.82</v>
      </c>
      <c r="F216" s="3">
        <v>35.762905000000003</v>
      </c>
      <c r="G216" s="4">
        <v>1919200</v>
      </c>
      <c r="H216">
        <f t="shared" si="3"/>
        <v>-2.559707056320477E-3</v>
      </c>
    </row>
    <row r="217" spans="1:8" x14ac:dyDescent="0.3">
      <c r="A217" s="1">
        <v>42317</v>
      </c>
      <c r="B217" s="2">
        <v>46.77</v>
      </c>
      <c r="C217" s="2">
        <v>46.82</v>
      </c>
      <c r="D217" s="2">
        <v>45.43</v>
      </c>
      <c r="E217" s="2">
        <v>45.5</v>
      </c>
      <c r="F217" s="3">
        <v>34.754646000000001</v>
      </c>
      <c r="G217" s="4">
        <v>1523300</v>
      </c>
      <c r="H217">
        <f t="shared" si="3"/>
        <v>-2.859813610585997E-2</v>
      </c>
    </row>
    <row r="218" spans="1:8" x14ac:dyDescent="0.3">
      <c r="A218" s="1">
        <v>42318</v>
      </c>
      <c r="B218" s="2">
        <v>45.439999</v>
      </c>
      <c r="C218" s="2">
        <v>46.209999000000003</v>
      </c>
      <c r="D218" s="2">
        <v>45.25</v>
      </c>
      <c r="E218" s="2">
        <v>45.939999</v>
      </c>
      <c r="F218" s="3">
        <v>35.090729000000003</v>
      </c>
      <c r="G218" s="4">
        <v>1518200</v>
      </c>
      <c r="H218">
        <f t="shared" si="3"/>
        <v>9.6238495365243756E-3</v>
      </c>
    </row>
    <row r="219" spans="1:8" x14ac:dyDescent="0.3">
      <c r="A219" s="1">
        <v>42319</v>
      </c>
      <c r="B219" s="2">
        <v>46.080002</v>
      </c>
      <c r="C219" s="2">
        <v>46.299999</v>
      </c>
      <c r="D219" s="2">
        <v>44.43</v>
      </c>
      <c r="E219" s="2">
        <v>44.580002</v>
      </c>
      <c r="F219" s="3">
        <v>34.051913999999996</v>
      </c>
      <c r="G219" s="4">
        <v>1881300</v>
      </c>
      <c r="H219">
        <f t="shared" si="3"/>
        <v>-3.0050802672539952E-2</v>
      </c>
    </row>
    <row r="220" spans="1:8" x14ac:dyDescent="0.3">
      <c r="A220" s="1">
        <v>42320</v>
      </c>
      <c r="B220" s="2">
        <v>44.459999000000003</v>
      </c>
      <c r="C220" s="2">
        <v>44.799999</v>
      </c>
      <c r="D220" s="2">
        <v>43.869999</v>
      </c>
      <c r="E220" s="2">
        <v>44.529998999999997</v>
      </c>
      <c r="F220" s="3">
        <v>34.013717999999997</v>
      </c>
      <c r="G220" s="4">
        <v>1886500</v>
      </c>
      <c r="H220">
        <f t="shared" si="3"/>
        <v>-1.1222759440491232E-3</v>
      </c>
    </row>
    <row r="221" spans="1:8" x14ac:dyDescent="0.3">
      <c r="A221" s="1">
        <v>42321</v>
      </c>
      <c r="B221" s="2">
        <v>39.939999</v>
      </c>
      <c r="C221" s="2">
        <v>40.099997999999999</v>
      </c>
      <c r="D221" s="2">
        <v>37.07</v>
      </c>
      <c r="E221" s="2">
        <v>37.18</v>
      </c>
      <c r="F221" s="3">
        <v>28.399508000000001</v>
      </c>
      <c r="G221" s="4">
        <v>9515200</v>
      </c>
      <c r="H221">
        <f t="shared" si="3"/>
        <v>-0.18039211458354196</v>
      </c>
    </row>
    <row r="222" spans="1:8" x14ac:dyDescent="0.3">
      <c r="A222" s="1">
        <v>42324</v>
      </c>
      <c r="B222" s="2">
        <v>37</v>
      </c>
      <c r="C222" s="2">
        <v>38.189999</v>
      </c>
      <c r="D222" s="2">
        <v>36.950001</v>
      </c>
      <c r="E222" s="2">
        <v>38.090000000000003</v>
      </c>
      <c r="F222" s="3">
        <v>29.094602999999999</v>
      </c>
      <c r="G222" s="4">
        <v>2570000</v>
      </c>
      <c r="H222">
        <f t="shared" si="3"/>
        <v>2.4180798197214828E-2</v>
      </c>
    </row>
    <row r="223" spans="1:8" x14ac:dyDescent="0.3">
      <c r="A223" s="1">
        <v>42325</v>
      </c>
      <c r="B223" s="2">
        <v>38.299999</v>
      </c>
      <c r="C223" s="2">
        <v>38.299999</v>
      </c>
      <c r="D223" s="2">
        <v>36.900002000000001</v>
      </c>
      <c r="E223" s="2">
        <v>37.159999999999997</v>
      </c>
      <c r="F223" s="3">
        <v>28.384224</v>
      </c>
      <c r="G223" s="4">
        <v>2598800</v>
      </c>
      <c r="H223">
        <f t="shared" si="3"/>
        <v>-2.4718866544875043E-2</v>
      </c>
    </row>
    <row r="224" spans="1:8" x14ac:dyDescent="0.3">
      <c r="A224" s="1">
        <v>42326</v>
      </c>
      <c r="B224" s="2">
        <v>37.57</v>
      </c>
      <c r="C224" s="2">
        <v>38.060001</v>
      </c>
      <c r="D224" s="2">
        <v>37.229999999999997</v>
      </c>
      <c r="E224" s="2">
        <v>37.810001</v>
      </c>
      <c r="F224" s="3">
        <v>28.880721999999999</v>
      </c>
      <c r="G224" s="4">
        <v>2284200</v>
      </c>
      <c r="H224">
        <f t="shared" si="3"/>
        <v>1.7340730405233006E-2</v>
      </c>
    </row>
    <row r="225" spans="1:8" x14ac:dyDescent="0.3">
      <c r="A225" s="1">
        <v>42327</v>
      </c>
      <c r="B225" s="2">
        <v>37.650002000000001</v>
      </c>
      <c r="C225" s="2">
        <v>38.959999000000003</v>
      </c>
      <c r="D225" s="2">
        <v>37.5</v>
      </c>
      <c r="E225" s="2">
        <v>38.459999000000003</v>
      </c>
      <c r="F225" s="3">
        <v>29.377223999999998</v>
      </c>
      <c r="G225" s="4">
        <v>2054700</v>
      </c>
      <c r="H225">
        <f t="shared" si="3"/>
        <v>1.7045069808722731E-2</v>
      </c>
    </row>
    <row r="226" spans="1:8" x14ac:dyDescent="0.3">
      <c r="A226" s="1">
        <v>42328</v>
      </c>
      <c r="B226" s="2">
        <v>39.099997999999999</v>
      </c>
      <c r="C226" s="2">
        <v>39.770000000000003</v>
      </c>
      <c r="D226" s="2">
        <v>38.57</v>
      </c>
      <c r="E226" s="2">
        <v>39.259998000000003</v>
      </c>
      <c r="F226" s="3">
        <v>29.988287</v>
      </c>
      <c r="G226" s="4">
        <v>2794200</v>
      </c>
      <c r="H226">
        <f t="shared" si="3"/>
        <v>2.0587423746285284E-2</v>
      </c>
    </row>
    <row r="227" spans="1:8" x14ac:dyDescent="0.3">
      <c r="A227" s="1">
        <v>42331</v>
      </c>
      <c r="B227" s="2">
        <v>33.139999000000003</v>
      </c>
      <c r="C227" s="2">
        <v>37.689999</v>
      </c>
      <c r="D227" s="2">
        <v>33</v>
      </c>
      <c r="E227" s="2">
        <v>37.610000999999997</v>
      </c>
      <c r="F227" s="3">
        <v>28.727961000000001</v>
      </c>
      <c r="G227" s="4">
        <v>16933800</v>
      </c>
      <c r="H227">
        <f t="shared" si="3"/>
        <v>-4.2936138834960912E-2</v>
      </c>
    </row>
    <row r="228" spans="1:8" x14ac:dyDescent="0.3">
      <c r="A228" s="1">
        <v>42332</v>
      </c>
      <c r="B228" s="2">
        <v>35.990001999999997</v>
      </c>
      <c r="C228" s="2">
        <v>38.229999999999997</v>
      </c>
      <c r="D228" s="2">
        <v>35.93</v>
      </c>
      <c r="E228" s="2">
        <v>37.909999999999997</v>
      </c>
      <c r="F228" s="3">
        <v>28.957111000000001</v>
      </c>
      <c r="G228" s="4">
        <v>5363000</v>
      </c>
      <c r="H228">
        <f t="shared" si="3"/>
        <v>7.9449304573254807E-3</v>
      </c>
    </row>
    <row r="229" spans="1:8" x14ac:dyDescent="0.3">
      <c r="A229" s="1">
        <v>42333</v>
      </c>
      <c r="B229" s="2">
        <v>37.790000999999997</v>
      </c>
      <c r="C229" s="2">
        <v>38.029998999999997</v>
      </c>
      <c r="D229" s="2">
        <v>36.599997999999999</v>
      </c>
      <c r="E229" s="2">
        <v>36.639999000000003</v>
      </c>
      <c r="F229" s="3">
        <v>27.987036</v>
      </c>
      <c r="G229" s="4">
        <v>2057900</v>
      </c>
      <c r="H229">
        <f t="shared" si="3"/>
        <v>-3.4074417014890584E-2</v>
      </c>
    </row>
    <row r="230" spans="1:8" x14ac:dyDescent="0.3">
      <c r="A230" s="1">
        <v>42335</v>
      </c>
      <c r="B230" s="2">
        <v>36.880001</v>
      </c>
      <c r="C230" s="2">
        <v>36.950001</v>
      </c>
      <c r="D230" s="2">
        <v>35.799999</v>
      </c>
      <c r="E230" s="2">
        <v>36.009998000000003</v>
      </c>
      <c r="F230" s="3">
        <v>27.505814000000001</v>
      </c>
      <c r="G230" s="4">
        <v>1192500</v>
      </c>
      <c r="H230">
        <f t="shared" si="3"/>
        <v>-1.7343890392698118E-2</v>
      </c>
    </row>
    <row r="231" spans="1:8" x14ac:dyDescent="0.3">
      <c r="A231" s="1">
        <v>42338</v>
      </c>
      <c r="B231" s="2">
        <v>35.560001</v>
      </c>
      <c r="C231" s="2">
        <v>35.830002</v>
      </c>
      <c r="D231" s="2">
        <v>34.900002000000001</v>
      </c>
      <c r="E231" s="2">
        <v>35.029998999999997</v>
      </c>
      <c r="F231" s="3">
        <v>26.757256000000002</v>
      </c>
      <c r="G231" s="4">
        <v>3223100</v>
      </c>
      <c r="H231">
        <f t="shared" si="3"/>
        <v>-2.7591813458219459E-2</v>
      </c>
    </row>
    <row r="232" spans="1:8" x14ac:dyDescent="0.3">
      <c r="A232" s="1">
        <v>42339</v>
      </c>
      <c r="B232" s="2">
        <v>35.049999</v>
      </c>
      <c r="C232" s="2">
        <v>35.169998</v>
      </c>
      <c r="D232" s="2">
        <v>34.25</v>
      </c>
      <c r="E232" s="2">
        <v>34.700001</v>
      </c>
      <c r="F232" s="3">
        <v>26.780411000000001</v>
      </c>
      <c r="G232" s="4">
        <v>2181300</v>
      </c>
      <c r="H232">
        <f t="shared" si="3"/>
        <v>-9.4650928911782905E-3</v>
      </c>
    </row>
    <row r="233" spans="1:8" x14ac:dyDescent="0.3">
      <c r="A233" s="1">
        <v>42340</v>
      </c>
      <c r="B233" s="2">
        <v>34.700001</v>
      </c>
      <c r="C233" s="2">
        <v>34.840000000000003</v>
      </c>
      <c r="D233" s="2">
        <v>33.860000999999997</v>
      </c>
      <c r="E233" s="2">
        <v>33.869999</v>
      </c>
      <c r="F233" s="3">
        <v>26.139842999999999</v>
      </c>
      <c r="G233" s="4">
        <v>2867700</v>
      </c>
      <c r="H233">
        <f t="shared" si="3"/>
        <v>-2.4210078466230103E-2</v>
      </c>
    </row>
    <row r="234" spans="1:8" x14ac:dyDescent="0.3">
      <c r="A234" s="1">
        <v>42341</v>
      </c>
      <c r="B234" s="2">
        <v>33.849997999999999</v>
      </c>
      <c r="C234" s="2">
        <v>33.849997999999999</v>
      </c>
      <c r="D234" s="2">
        <v>32.189999</v>
      </c>
      <c r="E234" s="2">
        <v>32.779998999999997</v>
      </c>
      <c r="F234" s="3">
        <v>25.298611000000001</v>
      </c>
      <c r="G234" s="4">
        <v>3718000</v>
      </c>
      <c r="H234">
        <f t="shared" si="3"/>
        <v>-3.2711094495750083E-2</v>
      </c>
    </row>
    <row r="235" spans="1:8" x14ac:dyDescent="0.3">
      <c r="A235" s="1">
        <v>42342</v>
      </c>
      <c r="B235" s="2">
        <v>32.770000000000003</v>
      </c>
      <c r="C235" s="2">
        <v>33.349997999999999</v>
      </c>
      <c r="D235" s="2">
        <v>32.240001999999997</v>
      </c>
      <c r="E235" s="2">
        <v>33.299999</v>
      </c>
      <c r="F235" s="3">
        <v>25.699926000000001</v>
      </c>
      <c r="G235" s="4">
        <v>3528300</v>
      </c>
      <c r="H235">
        <f t="shared" si="3"/>
        <v>1.5738824147090876E-2</v>
      </c>
    </row>
    <row r="236" spans="1:8" x14ac:dyDescent="0.3">
      <c r="A236" s="1">
        <v>42345</v>
      </c>
      <c r="B236" s="2">
        <v>33.200001</v>
      </c>
      <c r="C236" s="2">
        <v>33.389999000000003</v>
      </c>
      <c r="D236" s="2">
        <v>32.5</v>
      </c>
      <c r="E236" s="2">
        <v>33.07</v>
      </c>
      <c r="F236" s="3">
        <v>25.522424999999998</v>
      </c>
      <c r="G236" s="4">
        <v>2948100</v>
      </c>
      <c r="H236">
        <f t="shared" si="3"/>
        <v>-6.9308399626662525E-3</v>
      </c>
    </row>
    <row r="237" spans="1:8" x14ac:dyDescent="0.3">
      <c r="A237" s="1">
        <v>42346</v>
      </c>
      <c r="B237" s="2">
        <v>32.599997999999999</v>
      </c>
      <c r="C237" s="2">
        <v>33.889999000000003</v>
      </c>
      <c r="D237" s="2">
        <v>32.270000000000003</v>
      </c>
      <c r="E237" s="2">
        <v>33.740001999999997</v>
      </c>
      <c r="F237" s="3">
        <v>26.039511000000001</v>
      </c>
      <c r="G237" s="4">
        <v>2802800</v>
      </c>
      <c r="H237">
        <f t="shared" si="3"/>
        <v>2.0057609400941683E-2</v>
      </c>
    </row>
    <row r="238" spans="1:8" x14ac:dyDescent="0.3">
      <c r="A238" s="1">
        <v>42347</v>
      </c>
      <c r="B238" s="2">
        <v>33.110000999999997</v>
      </c>
      <c r="C238" s="2">
        <v>34.029998999999997</v>
      </c>
      <c r="D238" s="2">
        <v>32.400002000000001</v>
      </c>
      <c r="E238" s="2">
        <v>32.439999</v>
      </c>
      <c r="F238" s="3">
        <v>25.036208999999999</v>
      </c>
      <c r="G238" s="4">
        <v>2582300</v>
      </c>
      <c r="H238">
        <f t="shared" si="3"/>
        <v>-3.9291937973572E-2</v>
      </c>
    </row>
    <row r="239" spans="1:8" x14ac:dyDescent="0.3">
      <c r="A239" s="1">
        <v>42348</v>
      </c>
      <c r="B239" s="2">
        <v>32.549999</v>
      </c>
      <c r="C239" s="2">
        <v>32.900002000000001</v>
      </c>
      <c r="D239" s="2">
        <v>31.469999000000001</v>
      </c>
      <c r="E239" s="2">
        <v>32.009998000000003</v>
      </c>
      <c r="F239" s="3">
        <v>24.704350999999999</v>
      </c>
      <c r="G239" s="4">
        <v>4081400</v>
      </c>
      <c r="H239">
        <f t="shared" si="3"/>
        <v>-1.3343906919776202E-2</v>
      </c>
    </row>
    <row r="240" spans="1:8" x14ac:dyDescent="0.3">
      <c r="A240" s="1">
        <v>42349</v>
      </c>
      <c r="B240" s="2">
        <v>30.219999000000001</v>
      </c>
      <c r="C240" s="2">
        <v>31.35</v>
      </c>
      <c r="D240" s="2">
        <v>29.940000999999999</v>
      </c>
      <c r="E240" s="2">
        <v>30</v>
      </c>
      <c r="F240" s="3">
        <v>23.153092999999998</v>
      </c>
      <c r="G240" s="4">
        <v>6593000</v>
      </c>
      <c r="H240">
        <f t="shared" si="3"/>
        <v>-6.4850909839139659E-2</v>
      </c>
    </row>
    <row r="241" spans="1:8" x14ac:dyDescent="0.3">
      <c r="A241" s="1">
        <v>42352</v>
      </c>
      <c r="B241" s="2">
        <v>30</v>
      </c>
      <c r="C241" s="2">
        <v>30.66</v>
      </c>
      <c r="D241" s="2">
        <v>29.719999000000001</v>
      </c>
      <c r="E241" s="2">
        <v>30.27</v>
      </c>
      <c r="F241" s="3">
        <v>23.361471000000002</v>
      </c>
      <c r="G241" s="4">
        <v>2939500</v>
      </c>
      <c r="H241">
        <f t="shared" si="3"/>
        <v>8.9597413714718015E-3</v>
      </c>
    </row>
    <row r="242" spans="1:8" x14ac:dyDescent="0.3">
      <c r="A242" s="1">
        <v>42353</v>
      </c>
      <c r="B242" s="2">
        <v>30.74</v>
      </c>
      <c r="C242" s="2">
        <v>31.15</v>
      </c>
      <c r="D242" s="2">
        <v>30.4</v>
      </c>
      <c r="E242" s="2">
        <v>30.540001</v>
      </c>
      <c r="F242" s="3">
        <v>23.569849000000001</v>
      </c>
      <c r="G242" s="4">
        <v>2538300</v>
      </c>
      <c r="H242">
        <f t="shared" si="3"/>
        <v>8.880209500801017E-3</v>
      </c>
    </row>
    <row r="243" spans="1:8" x14ac:dyDescent="0.3">
      <c r="A243" s="1">
        <v>42354</v>
      </c>
      <c r="B243" s="2">
        <v>30.82</v>
      </c>
      <c r="C243" s="2">
        <v>31</v>
      </c>
      <c r="D243" s="2">
        <v>30.120000999999998</v>
      </c>
      <c r="E243" s="2">
        <v>30.559999000000001</v>
      </c>
      <c r="F243" s="3">
        <v>23.585284999999999</v>
      </c>
      <c r="G243" s="4">
        <v>2185100</v>
      </c>
      <c r="H243">
        <f t="shared" si="3"/>
        <v>6.5459904137784761E-4</v>
      </c>
    </row>
    <row r="244" spans="1:8" x14ac:dyDescent="0.3">
      <c r="A244" s="1">
        <v>42355</v>
      </c>
      <c r="B244" s="2">
        <v>30.559999000000001</v>
      </c>
      <c r="C244" s="2">
        <v>30.709999</v>
      </c>
      <c r="D244" s="2">
        <v>29.049999</v>
      </c>
      <c r="E244" s="2">
        <v>29.049999</v>
      </c>
      <c r="F244" s="3">
        <v>22.419910000000002</v>
      </c>
      <c r="G244" s="4">
        <v>2279400</v>
      </c>
      <c r="H244">
        <f t="shared" si="3"/>
        <v>-5.0673482701294417E-2</v>
      </c>
    </row>
    <row r="245" spans="1:8" x14ac:dyDescent="0.3">
      <c r="A245" s="1">
        <v>42356</v>
      </c>
      <c r="B245" s="2">
        <v>28.92</v>
      </c>
      <c r="C245" s="2">
        <v>28.940000999999999</v>
      </c>
      <c r="D245" s="2">
        <v>27.9</v>
      </c>
      <c r="E245" s="2">
        <v>28.76</v>
      </c>
      <c r="F245" s="3">
        <v>22.196097999999999</v>
      </c>
      <c r="G245" s="4">
        <v>5602500</v>
      </c>
      <c r="H245">
        <f t="shared" si="3"/>
        <v>-1.0032916021665677E-2</v>
      </c>
    </row>
    <row r="246" spans="1:8" x14ac:dyDescent="0.3">
      <c r="A246" s="1">
        <v>42359</v>
      </c>
      <c r="B246" s="2">
        <v>28.530000999999999</v>
      </c>
      <c r="C246" s="2">
        <v>29.1</v>
      </c>
      <c r="D246" s="2">
        <v>28.049999</v>
      </c>
      <c r="E246" s="2">
        <v>28.75</v>
      </c>
      <c r="F246" s="3">
        <v>22.188376999999999</v>
      </c>
      <c r="G246" s="4">
        <v>3418200</v>
      </c>
      <c r="H246">
        <f t="shared" si="3"/>
        <v>-3.4776560948654602E-4</v>
      </c>
    </row>
    <row r="247" spans="1:8" x14ac:dyDescent="0.3">
      <c r="A247" s="1">
        <v>42360</v>
      </c>
      <c r="B247" s="2">
        <v>28.9</v>
      </c>
      <c r="C247" s="2">
        <v>28.9</v>
      </c>
      <c r="D247" s="2">
        <v>28.16</v>
      </c>
      <c r="E247" s="2">
        <v>28.6</v>
      </c>
      <c r="F247" s="3">
        <v>22.072613</v>
      </c>
      <c r="G247" s="4">
        <v>3065900</v>
      </c>
      <c r="H247">
        <f t="shared" si="3"/>
        <v>-5.2310494175524438E-3</v>
      </c>
    </row>
    <row r="248" spans="1:8" x14ac:dyDescent="0.3">
      <c r="A248" s="1">
        <v>42361</v>
      </c>
      <c r="B248" s="2">
        <v>28.799999</v>
      </c>
      <c r="C248" s="2">
        <v>28.93</v>
      </c>
      <c r="D248" s="2">
        <v>28.26</v>
      </c>
      <c r="E248" s="2">
        <v>28.75</v>
      </c>
      <c r="F248" s="3">
        <v>22.188376999999999</v>
      </c>
      <c r="G248" s="4">
        <v>2778300</v>
      </c>
      <c r="H248">
        <f t="shared" si="3"/>
        <v>5.2310494175525028E-3</v>
      </c>
    </row>
    <row r="249" spans="1:8" x14ac:dyDescent="0.3">
      <c r="A249" s="1">
        <v>42362</v>
      </c>
      <c r="B249" s="2">
        <v>28.620000999999998</v>
      </c>
      <c r="C249" s="2">
        <v>28.799999</v>
      </c>
      <c r="D249" s="2">
        <v>28.280000999999999</v>
      </c>
      <c r="E249" s="2">
        <v>28.370000999999998</v>
      </c>
      <c r="F249" s="3">
        <v>21.895106999999999</v>
      </c>
      <c r="G249" s="4">
        <v>869000</v>
      </c>
      <c r="H249">
        <f t="shared" si="3"/>
        <v>-1.3305483174098184E-2</v>
      </c>
    </row>
    <row r="250" spans="1:8" x14ac:dyDescent="0.3">
      <c r="A250" s="1">
        <v>42366</v>
      </c>
      <c r="B250" s="2">
        <v>28.370000999999998</v>
      </c>
      <c r="C250" s="2">
        <v>28.940000999999999</v>
      </c>
      <c r="D250" s="2">
        <v>28.139999</v>
      </c>
      <c r="E250" s="2">
        <v>28.469999000000001</v>
      </c>
      <c r="F250" s="3">
        <v>21.972286</v>
      </c>
      <c r="G250" s="4">
        <v>2325400</v>
      </c>
      <c r="H250">
        <f t="shared" si="3"/>
        <v>3.5185820959918045E-3</v>
      </c>
    </row>
    <row r="251" spans="1:8" x14ac:dyDescent="0.3">
      <c r="A251" s="1">
        <v>42367</v>
      </c>
      <c r="B251" s="2">
        <v>28.620000999999998</v>
      </c>
      <c r="C251" s="2">
        <v>28.799999</v>
      </c>
      <c r="D251" s="2">
        <v>28.33</v>
      </c>
      <c r="E251" s="2">
        <v>28.43</v>
      </c>
      <c r="F251" s="3">
        <v>21.941414000000002</v>
      </c>
      <c r="G251" s="4">
        <v>2040400</v>
      </c>
      <c r="H251">
        <f t="shared" si="3"/>
        <v>-1.4059405023445367E-3</v>
      </c>
    </row>
    <row r="252" spans="1:8" x14ac:dyDescent="0.3">
      <c r="A252" s="1">
        <v>42368</v>
      </c>
      <c r="B252" s="2">
        <v>28.370000999999998</v>
      </c>
      <c r="C252" s="2">
        <v>28.940000999999999</v>
      </c>
      <c r="D252" s="2">
        <v>28.24</v>
      </c>
      <c r="E252" s="2">
        <v>28.48</v>
      </c>
      <c r="F252" s="3">
        <v>21.980001000000001</v>
      </c>
      <c r="G252" s="4">
        <v>1438300</v>
      </c>
      <c r="H252">
        <f t="shared" si="3"/>
        <v>1.7571608808665804E-3</v>
      </c>
    </row>
    <row r="253" spans="1:8" x14ac:dyDescent="0.3">
      <c r="A253" s="1">
        <v>42369</v>
      </c>
      <c r="B253" s="2">
        <v>28.43</v>
      </c>
      <c r="C253" s="2">
        <v>28.860001</v>
      </c>
      <c r="D253" s="2">
        <v>28.030000999999999</v>
      </c>
      <c r="E253" s="2">
        <v>28.040001</v>
      </c>
      <c r="F253" s="3">
        <v>21.640425</v>
      </c>
      <c r="G253" s="4">
        <v>1696000</v>
      </c>
      <c r="H253">
        <f t="shared" si="3"/>
        <v>-1.5569988714048208E-2</v>
      </c>
    </row>
    <row r="254" spans="1:8" x14ac:dyDescent="0.3">
      <c r="A254" s="1">
        <v>42373</v>
      </c>
      <c r="B254" s="2">
        <v>27.040001</v>
      </c>
      <c r="C254" s="2">
        <v>28.459999</v>
      </c>
      <c r="D254" s="2">
        <v>27.01</v>
      </c>
      <c r="E254" s="2">
        <v>28.309999000000001</v>
      </c>
      <c r="F254" s="3">
        <v>21.848804000000001</v>
      </c>
      <c r="G254" s="4">
        <v>4330400</v>
      </c>
      <c r="H254">
        <f t="shared" si="3"/>
        <v>9.5829659708734447E-3</v>
      </c>
    </row>
    <row r="255" spans="1:8" x14ac:dyDescent="0.3">
      <c r="A255" s="1">
        <v>42374</v>
      </c>
      <c r="B255" s="2">
        <v>28.59</v>
      </c>
      <c r="C255" s="2">
        <v>29.01</v>
      </c>
      <c r="D255" s="2">
        <v>28.059999000000001</v>
      </c>
      <c r="E255" s="2">
        <v>28.77</v>
      </c>
      <c r="F255" s="3">
        <v>22.203817000000001</v>
      </c>
      <c r="G255" s="4">
        <v>3416600</v>
      </c>
      <c r="H255">
        <f t="shared" si="3"/>
        <v>1.6118113762856177E-2</v>
      </c>
    </row>
    <row r="256" spans="1:8" x14ac:dyDescent="0.3">
      <c r="A256" s="1">
        <v>42375</v>
      </c>
      <c r="B256" s="2">
        <v>28.23</v>
      </c>
      <c r="C256" s="2">
        <v>28.74</v>
      </c>
      <c r="D256" s="2">
        <v>27.440000999999999</v>
      </c>
      <c r="E256" s="2">
        <v>28.370000999999998</v>
      </c>
      <c r="F256" s="3">
        <v>21.895106999999999</v>
      </c>
      <c r="G256" s="4">
        <v>3756400</v>
      </c>
      <c r="H256">
        <f t="shared" si="3"/>
        <v>-1.4000893494195235E-2</v>
      </c>
    </row>
    <row r="257" spans="1:8" x14ac:dyDescent="0.3">
      <c r="A257" s="1">
        <v>42376</v>
      </c>
      <c r="B257" s="2">
        <v>28.120000999999998</v>
      </c>
      <c r="C257" s="2">
        <v>28.77</v>
      </c>
      <c r="D257" s="2">
        <v>27.74</v>
      </c>
      <c r="E257" s="2">
        <v>28.450001</v>
      </c>
      <c r="F257" s="3">
        <v>21.956852000000001</v>
      </c>
      <c r="G257" s="4">
        <v>2662800</v>
      </c>
      <c r="H257">
        <f t="shared" si="3"/>
        <v>2.8159116524629252E-3</v>
      </c>
    </row>
    <row r="258" spans="1:8" x14ac:dyDescent="0.3">
      <c r="A258" s="1">
        <v>42377</v>
      </c>
      <c r="B258" s="2">
        <v>28.700001</v>
      </c>
      <c r="C258" s="2">
        <v>28.790001</v>
      </c>
      <c r="D258" s="2">
        <v>28.040001</v>
      </c>
      <c r="E258" s="2">
        <v>28.370000999999998</v>
      </c>
      <c r="F258" s="3">
        <v>21.895106999999999</v>
      </c>
      <c r="G258" s="4">
        <v>2699200</v>
      </c>
      <c r="H258">
        <f t="shared" si="3"/>
        <v>-2.815911652462966E-3</v>
      </c>
    </row>
    <row r="259" spans="1:8" x14ac:dyDescent="0.3">
      <c r="A259" s="1">
        <v>42380</v>
      </c>
      <c r="B259" s="2">
        <v>28.33</v>
      </c>
      <c r="C259" s="2">
        <v>29.549999</v>
      </c>
      <c r="D259" s="2">
        <v>27.99</v>
      </c>
      <c r="E259" s="2">
        <v>29.379999000000002</v>
      </c>
      <c r="F259" s="3">
        <v>22.674595</v>
      </c>
      <c r="G259" s="4">
        <v>3256700</v>
      </c>
      <c r="H259">
        <f t="shared" si="3"/>
        <v>3.4981852639709779E-2</v>
      </c>
    </row>
    <row r="260" spans="1:8" x14ac:dyDescent="0.3">
      <c r="A260" s="1">
        <v>42381</v>
      </c>
      <c r="B260" s="2">
        <v>28.950001</v>
      </c>
      <c r="C260" s="2">
        <v>29.219999000000001</v>
      </c>
      <c r="D260" s="2">
        <v>26.309999000000001</v>
      </c>
      <c r="E260" s="2">
        <v>27.879999000000002</v>
      </c>
      <c r="F260" s="3">
        <v>21.516939000000001</v>
      </c>
      <c r="G260" s="4">
        <v>8089400</v>
      </c>
      <c r="H260">
        <f t="shared" ref="H260:H323" si="4">LN(E260/E259)</f>
        <v>-5.2404586684654197E-2</v>
      </c>
    </row>
    <row r="261" spans="1:8" x14ac:dyDescent="0.3">
      <c r="A261" s="1">
        <v>42382</v>
      </c>
      <c r="B261" s="2">
        <v>27.709999</v>
      </c>
      <c r="C261" s="2">
        <v>27.82</v>
      </c>
      <c r="D261" s="2">
        <v>26.48</v>
      </c>
      <c r="E261" s="2">
        <v>26.940000999999999</v>
      </c>
      <c r="F261" s="3">
        <v>20.791478999999999</v>
      </c>
      <c r="G261" s="4">
        <v>2921600</v>
      </c>
      <c r="H261">
        <f t="shared" si="4"/>
        <v>-3.4297341922574692E-2</v>
      </c>
    </row>
    <row r="262" spans="1:8" x14ac:dyDescent="0.3">
      <c r="A262" s="1">
        <v>42383</v>
      </c>
      <c r="B262" s="2">
        <v>27.42</v>
      </c>
      <c r="C262" s="2">
        <v>27.42</v>
      </c>
      <c r="D262" s="2">
        <v>25.18</v>
      </c>
      <c r="E262" s="2">
        <v>25.58</v>
      </c>
      <c r="F262" s="3">
        <v>19.741871</v>
      </c>
      <c r="G262" s="4">
        <v>4589400</v>
      </c>
      <c r="H262">
        <f t="shared" si="4"/>
        <v>-5.180141195104547E-2</v>
      </c>
    </row>
    <row r="263" spans="1:8" x14ac:dyDescent="0.3">
      <c r="A263" s="1">
        <v>42384</v>
      </c>
      <c r="B263" s="2">
        <v>25.059999000000001</v>
      </c>
      <c r="C263" s="2">
        <v>25.940000999999999</v>
      </c>
      <c r="D263" s="2">
        <v>24.85</v>
      </c>
      <c r="E263" s="2">
        <v>25.639999</v>
      </c>
      <c r="F263" s="3">
        <v>19.788171999999999</v>
      </c>
      <c r="G263" s="4">
        <v>3187700</v>
      </c>
      <c r="H263">
        <f t="shared" si="4"/>
        <v>2.3427969002118121E-3</v>
      </c>
    </row>
    <row r="264" spans="1:8" x14ac:dyDescent="0.3">
      <c r="A264" s="1">
        <v>42388</v>
      </c>
      <c r="B264" s="2">
        <v>25.959999</v>
      </c>
      <c r="C264" s="2">
        <v>25.98</v>
      </c>
      <c r="D264" s="2">
        <v>25.049999</v>
      </c>
      <c r="E264" s="2">
        <v>25.51</v>
      </c>
      <c r="F264" s="3">
        <v>19.687847000000001</v>
      </c>
      <c r="G264" s="4">
        <v>2784500</v>
      </c>
      <c r="H264">
        <f t="shared" si="4"/>
        <v>-5.0830608971883682E-3</v>
      </c>
    </row>
    <row r="265" spans="1:8" x14ac:dyDescent="0.3">
      <c r="A265" s="1">
        <v>42389</v>
      </c>
      <c r="B265" s="2">
        <v>25.209999</v>
      </c>
      <c r="C265" s="2">
        <v>25.450001</v>
      </c>
      <c r="D265" s="2">
        <v>24.33</v>
      </c>
      <c r="E265" s="2">
        <v>25.190000999999999</v>
      </c>
      <c r="F265" s="3">
        <v>19.440878000000001</v>
      </c>
      <c r="G265" s="4">
        <v>2236300</v>
      </c>
      <c r="H265">
        <f t="shared" si="4"/>
        <v>-1.2623402090909092E-2</v>
      </c>
    </row>
    <row r="266" spans="1:8" x14ac:dyDescent="0.3">
      <c r="A266" s="1">
        <v>42390</v>
      </c>
      <c r="B266" s="2">
        <v>25.190000999999999</v>
      </c>
      <c r="C266" s="2">
        <v>25.940000999999999</v>
      </c>
      <c r="D266" s="2">
        <v>25.15</v>
      </c>
      <c r="E266" s="2">
        <v>25.290001</v>
      </c>
      <c r="F266" s="3">
        <v>19.518059000000001</v>
      </c>
      <c r="G266" s="4">
        <v>2118300</v>
      </c>
      <c r="H266">
        <f t="shared" si="4"/>
        <v>3.961970160382646E-3</v>
      </c>
    </row>
    <row r="267" spans="1:8" x14ac:dyDescent="0.3">
      <c r="A267" s="1">
        <v>42391</v>
      </c>
      <c r="B267" s="2">
        <v>25.73</v>
      </c>
      <c r="C267" s="2">
        <v>26.030000999999999</v>
      </c>
      <c r="D267" s="2">
        <v>25.43</v>
      </c>
      <c r="E267" s="2">
        <v>25.67</v>
      </c>
      <c r="F267" s="3">
        <v>19.811330999999999</v>
      </c>
      <c r="G267" s="4">
        <v>1763600</v>
      </c>
      <c r="H267">
        <f t="shared" si="4"/>
        <v>1.4913894659855395E-2</v>
      </c>
    </row>
    <row r="268" spans="1:8" x14ac:dyDescent="0.3">
      <c r="A268" s="1">
        <v>42394</v>
      </c>
      <c r="B268" s="2">
        <v>25.6</v>
      </c>
      <c r="C268" s="2">
        <v>25.969999000000001</v>
      </c>
      <c r="D268" s="2">
        <v>24.91</v>
      </c>
      <c r="E268" s="2">
        <v>25.059999000000001</v>
      </c>
      <c r="F268" s="3">
        <v>19.340548999999999</v>
      </c>
      <c r="G268" s="4">
        <v>1445200</v>
      </c>
      <c r="H268">
        <f t="shared" si="4"/>
        <v>-2.405008531935748E-2</v>
      </c>
    </row>
    <row r="269" spans="1:8" x14ac:dyDescent="0.3">
      <c r="A269" s="1">
        <v>42395</v>
      </c>
      <c r="B269" s="2">
        <v>25.35</v>
      </c>
      <c r="C269" s="2">
        <v>26.48</v>
      </c>
      <c r="D269" s="2">
        <v>25.139999</v>
      </c>
      <c r="E269" s="2">
        <v>26.059999000000001</v>
      </c>
      <c r="F269" s="3">
        <v>20.112317999999998</v>
      </c>
      <c r="G269" s="4">
        <v>2769000</v>
      </c>
      <c r="H269">
        <f t="shared" si="4"/>
        <v>3.9128623760021401E-2</v>
      </c>
    </row>
    <row r="270" spans="1:8" x14ac:dyDescent="0.3">
      <c r="A270" s="1">
        <v>42396</v>
      </c>
      <c r="B270" s="2">
        <v>26.24</v>
      </c>
      <c r="C270" s="2">
        <v>26.780000999999999</v>
      </c>
      <c r="D270" s="2">
        <v>25.82</v>
      </c>
      <c r="E270" s="2">
        <v>26.15</v>
      </c>
      <c r="F270" s="3">
        <v>20.18178</v>
      </c>
      <c r="G270" s="4">
        <v>2002900</v>
      </c>
      <c r="H270">
        <f t="shared" si="4"/>
        <v>3.4476571872188188E-3</v>
      </c>
    </row>
    <row r="271" spans="1:8" x14ac:dyDescent="0.3">
      <c r="A271" s="1">
        <v>42397</v>
      </c>
      <c r="B271" s="2">
        <v>26.49</v>
      </c>
      <c r="C271" s="2">
        <v>26.610001</v>
      </c>
      <c r="D271" s="2">
        <v>25.67</v>
      </c>
      <c r="E271" s="2">
        <v>25.709999</v>
      </c>
      <c r="F271" s="3">
        <v>19.842199000000001</v>
      </c>
      <c r="G271" s="4">
        <v>1398900</v>
      </c>
      <c r="H271">
        <f t="shared" si="4"/>
        <v>-1.6969208128505924E-2</v>
      </c>
    </row>
    <row r="272" spans="1:8" x14ac:dyDescent="0.3">
      <c r="A272" s="1">
        <v>42398</v>
      </c>
      <c r="B272" s="2">
        <v>25.76</v>
      </c>
      <c r="C272" s="2">
        <v>26.25</v>
      </c>
      <c r="D272" s="2">
        <v>25.610001</v>
      </c>
      <c r="E272" s="2">
        <v>26.209999</v>
      </c>
      <c r="F272" s="3">
        <v>20.228088</v>
      </c>
      <c r="G272" s="4">
        <v>2317800</v>
      </c>
      <c r="H272">
        <f t="shared" si="4"/>
        <v>1.9260996799511702E-2</v>
      </c>
    </row>
    <row r="273" spans="1:8" x14ac:dyDescent="0.3">
      <c r="A273" s="1">
        <v>42401</v>
      </c>
      <c r="B273" s="2">
        <v>26.200001</v>
      </c>
      <c r="C273" s="2">
        <v>26.860001</v>
      </c>
      <c r="D273" s="2">
        <v>25.85</v>
      </c>
      <c r="E273" s="2">
        <v>26.809999000000001</v>
      </c>
      <c r="F273" s="3">
        <v>20.691143</v>
      </c>
      <c r="G273" s="4">
        <v>2787300</v>
      </c>
      <c r="H273">
        <f t="shared" si="4"/>
        <v>2.2633935766414457E-2</v>
      </c>
    </row>
    <row r="274" spans="1:8" x14ac:dyDescent="0.3">
      <c r="A274" s="1">
        <v>42402</v>
      </c>
      <c r="B274" s="2">
        <v>26.629999000000002</v>
      </c>
      <c r="C274" s="2">
        <v>26.709999</v>
      </c>
      <c r="D274" s="2">
        <v>25.59</v>
      </c>
      <c r="E274" s="2">
        <v>25.92</v>
      </c>
      <c r="F274" s="3">
        <v>20.004273999999999</v>
      </c>
      <c r="G274" s="4">
        <v>1840600</v>
      </c>
      <c r="H274">
        <f t="shared" si="4"/>
        <v>-3.3760043464278168E-2</v>
      </c>
    </row>
    <row r="275" spans="1:8" x14ac:dyDescent="0.3">
      <c r="A275" s="1">
        <v>42403</v>
      </c>
      <c r="B275" s="2">
        <v>26.110001</v>
      </c>
      <c r="C275" s="2">
        <v>26.280000999999999</v>
      </c>
      <c r="D275" s="2">
        <v>24.75</v>
      </c>
      <c r="E275" s="2">
        <v>26.17</v>
      </c>
      <c r="F275" s="3">
        <v>20.197213999999999</v>
      </c>
      <c r="G275" s="4">
        <v>2223400</v>
      </c>
      <c r="H275">
        <f t="shared" si="4"/>
        <v>9.5988450579804502E-3</v>
      </c>
    </row>
    <row r="276" spans="1:8" x14ac:dyDescent="0.3">
      <c r="A276" s="1">
        <v>42404</v>
      </c>
      <c r="B276" s="2">
        <v>26.059999000000001</v>
      </c>
      <c r="C276" s="2">
        <v>27.190000999999999</v>
      </c>
      <c r="D276" s="2">
        <v>25.379999000000002</v>
      </c>
      <c r="E276" s="2">
        <v>27.01</v>
      </c>
      <c r="F276" s="3">
        <v>20.845500999999999</v>
      </c>
      <c r="G276" s="4">
        <v>2000200</v>
      </c>
      <c r="H276">
        <f t="shared" si="4"/>
        <v>3.1593451262469797E-2</v>
      </c>
    </row>
    <row r="277" spans="1:8" x14ac:dyDescent="0.3">
      <c r="A277" s="1">
        <v>42405</v>
      </c>
      <c r="B277" s="2">
        <v>27.01</v>
      </c>
      <c r="C277" s="2">
        <v>27.18</v>
      </c>
      <c r="D277" s="2">
        <v>26.43</v>
      </c>
      <c r="E277" s="2">
        <v>26.83</v>
      </c>
      <c r="F277" s="3">
        <v>20.706582999999998</v>
      </c>
      <c r="G277" s="4">
        <v>1545800</v>
      </c>
      <c r="H277">
        <f t="shared" si="4"/>
        <v>-6.6865033669916037E-3</v>
      </c>
    </row>
    <row r="278" spans="1:8" x14ac:dyDescent="0.3">
      <c r="A278" s="1">
        <v>42408</v>
      </c>
      <c r="B278" s="2">
        <v>26.549999</v>
      </c>
      <c r="C278" s="2">
        <v>27.959999</v>
      </c>
      <c r="D278" s="2">
        <v>26.5</v>
      </c>
      <c r="E278" s="2">
        <v>27.889999</v>
      </c>
      <c r="F278" s="3">
        <v>21.524656</v>
      </c>
      <c r="G278" s="4">
        <v>2944800</v>
      </c>
      <c r="H278">
        <f t="shared" si="4"/>
        <v>3.8747501346719088E-2</v>
      </c>
    </row>
    <row r="279" spans="1:8" x14ac:dyDescent="0.3">
      <c r="A279" s="1">
        <v>42409</v>
      </c>
      <c r="B279" s="2">
        <v>27.65</v>
      </c>
      <c r="C279" s="2">
        <v>27.879999000000002</v>
      </c>
      <c r="D279" s="2">
        <v>26.709999</v>
      </c>
      <c r="E279" s="2">
        <v>27.120000999999998</v>
      </c>
      <c r="F279" s="3">
        <v>20.930395000000001</v>
      </c>
      <c r="G279" s="4">
        <v>3286800</v>
      </c>
      <c r="H279">
        <f t="shared" si="4"/>
        <v>-2.7996665838901254E-2</v>
      </c>
    </row>
    <row r="280" spans="1:8" x14ac:dyDescent="0.3">
      <c r="A280" s="1">
        <v>42410</v>
      </c>
      <c r="B280" s="2">
        <v>27.200001</v>
      </c>
      <c r="C280" s="2">
        <v>27.290001</v>
      </c>
      <c r="D280" s="2">
        <v>26.620000999999998</v>
      </c>
      <c r="E280" s="2">
        <v>26.65</v>
      </c>
      <c r="F280" s="3">
        <v>20.567661000000001</v>
      </c>
      <c r="G280" s="4">
        <v>1370100</v>
      </c>
      <c r="H280">
        <f t="shared" si="4"/>
        <v>-1.7482349333496881E-2</v>
      </c>
    </row>
    <row r="281" spans="1:8" x14ac:dyDescent="0.3">
      <c r="A281" s="1">
        <v>42411</v>
      </c>
      <c r="B281" s="2">
        <v>26.450001</v>
      </c>
      <c r="C281" s="2">
        <v>26.950001</v>
      </c>
      <c r="D281" s="2">
        <v>26.139999</v>
      </c>
      <c r="E281" s="2">
        <v>26.67</v>
      </c>
      <c r="F281" s="3">
        <v>20.583096999999999</v>
      </c>
      <c r="G281" s="4">
        <v>1479700</v>
      </c>
      <c r="H281">
        <f t="shared" si="4"/>
        <v>7.5018758206950927E-4</v>
      </c>
    </row>
    <row r="282" spans="1:8" x14ac:dyDescent="0.3">
      <c r="A282" s="1">
        <v>42412</v>
      </c>
      <c r="B282" s="2">
        <v>26.77</v>
      </c>
      <c r="C282" s="2">
        <v>27.379999000000002</v>
      </c>
      <c r="D282" s="2">
        <v>26.299999</v>
      </c>
      <c r="E282" s="2">
        <v>26.98</v>
      </c>
      <c r="F282" s="3">
        <v>20.82235</v>
      </c>
      <c r="G282" s="4">
        <v>2581800</v>
      </c>
      <c r="H282">
        <f t="shared" si="4"/>
        <v>1.1556512585686943E-2</v>
      </c>
    </row>
    <row r="283" spans="1:8" x14ac:dyDescent="0.3">
      <c r="A283" s="1">
        <v>42416</v>
      </c>
      <c r="B283" s="2">
        <v>27.33</v>
      </c>
      <c r="C283" s="2">
        <v>28.049999</v>
      </c>
      <c r="D283" s="2">
        <v>26.889999</v>
      </c>
      <c r="E283" s="2">
        <v>28</v>
      </c>
      <c r="F283" s="3">
        <v>21.609553999999999</v>
      </c>
      <c r="G283" s="4">
        <v>1436000</v>
      </c>
      <c r="H283">
        <f t="shared" si="4"/>
        <v>3.7108659395594108E-2</v>
      </c>
    </row>
    <row r="284" spans="1:8" x14ac:dyDescent="0.3">
      <c r="A284" s="1">
        <v>42417</v>
      </c>
      <c r="B284" s="2">
        <v>28.219999000000001</v>
      </c>
      <c r="C284" s="2">
        <v>29</v>
      </c>
      <c r="D284" s="2">
        <v>27.959999</v>
      </c>
      <c r="E284" s="2">
        <v>28.74</v>
      </c>
      <c r="F284" s="3">
        <v>22.180658000000001</v>
      </c>
      <c r="G284" s="4">
        <v>1672400</v>
      </c>
      <c r="H284">
        <f t="shared" si="4"/>
        <v>2.6085370475674982E-2</v>
      </c>
    </row>
    <row r="285" spans="1:8" x14ac:dyDescent="0.3">
      <c r="A285" s="1">
        <v>42418</v>
      </c>
      <c r="B285" s="2">
        <v>28.799999</v>
      </c>
      <c r="C285" s="2">
        <v>29.799999</v>
      </c>
      <c r="D285" s="2">
        <v>28.67</v>
      </c>
      <c r="E285" s="2">
        <v>29.24</v>
      </c>
      <c r="F285" s="3">
        <v>22.566547</v>
      </c>
      <c r="G285" s="4">
        <v>2762000</v>
      </c>
      <c r="H285">
        <f t="shared" si="4"/>
        <v>1.7247754230698822E-2</v>
      </c>
    </row>
    <row r="286" spans="1:8" x14ac:dyDescent="0.3">
      <c r="A286" s="1">
        <v>42419</v>
      </c>
      <c r="B286" s="2">
        <v>29.219999000000001</v>
      </c>
      <c r="C286" s="2">
        <v>29.219999000000001</v>
      </c>
      <c r="D286" s="2">
        <v>27.780000999999999</v>
      </c>
      <c r="E286" s="2">
        <v>28.190000999999999</v>
      </c>
      <c r="F286" s="3">
        <v>21.756191000000001</v>
      </c>
      <c r="G286" s="4">
        <v>2132500</v>
      </c>
      <c r="H286">
        <f t="shared" si="4"/>
        <v>-3.6570294281984959E-2</v>
      </c>
    </row>
    <row r="287" spans="1:8" x14ac:dyDescent="0.3">
      <c r="A287" s="1">
        <v>42422</v>
      </c>
      <c r="B287" s="2">
        <v>28.530000999999999</v>
      </c>
      <c r="C287" s="2">
        <v>29.629999000000002</v>
      </c>
      <c r="D287" s="2">
        <v>28.43</v>
      </c>
      <c r="E287" s="2">
        <v>29.209999</v>
      </c>
      <c r="F287" s="3">
        <v>22.543393999999999</v>
      </c>
      <c r="G287" s="4">
        <v>1680600</v>
      </c>
      <c r="H287">
        <f t="shared" si="4"/>
        <v>3.5543741565205282E-2</v>
      </c>
    </row>
    <row r="288" spans="1:8" x14ac:dyDescent="0.3">
      <c r="A288" s="1">
        <v>42423</v>
      </c>
      <c r="B288" s="2">
        <v>29.6</v>
      </c>
      <c r="C288" s="2">
        <v>29.860001</v>
      </c>
      <c r="D288" s="2">
        <v>28.98</v>
      </c>
      <c r="E288" s="2">
        <v>29.440000999999999</v>
      </c>
      <c r="F288" s="3">
        <v>22.720904999999998</v>
      </c>
      <c r="G288" s="4">
        <v>1264900</v>
      </c>
      <c r="H288">
        <f t="shared" si="4"/>
        <v>7.8432456632682793E-3</v>
      </c>
    </row>
    <row r="289" spans="1:8" x14ac:dyDescent="0.3">
      <c r="A289" s="1">
        <v>42424</v>
      </c>
      <c r="B289" s="2">
        <v>29.42</v>
      </c>
      <c r="C289" s="2">
        <v>29.9</v>
      </c>
      <c r="D289" s="2">
        <v>28.26</v>
      </c>
      <c r="E289" s="2">
        <v>29.889999</v>
      </c>
      <c r="F289" s="3">
        <v>23.068193000000001</v>
      </c>
      <c r="G289" s="4">
        <v>1604200</v>
      </c>
      <c r="H289">
        <f t="shared" si="4"/>
        <v>1.516961501177439E-2</v>
      </c>
    </row>
    <row r="290" spans="1:8" x14ac:dyDescent="0.3">
      <c r="A290" s="1">
        <v>42425</v>
      </c>
      <c r="B290" s="2">
        <v>29.6</v>
      </c>
      <c r="C290" s="2">
        <v>30.059999000000001</v>
      </c>
      <c r="D290" s="2">
        <v>29.309999000000001</v>
      </c>
      <c r="E290" s="2">
        <v>29.959999</v>
      </c>
      <c r="F290" s="3">
        <v>23.122219000000001</v>
      </c>
      <c r="G290" s="4">
        <v>1528900</v>
      </c>
      <c r="H290">
        <f t="shared" si="4"/>
        <v>2.3391824313405024E-3</v>
      </c>
    </row>
    <row r="291" spans="1:8" x14ac:dyDescent="0.3">
      <c r="A291" s="1">
        <v>42426</v>
      </c>
      <c r="B291" s="2">
        <v>30.110001</v>
      </c>
      <c r="C291" s="2">
        <v>30.610001</v>
      </c>
      <c r="D291" s="2">
        <v>29.93</v>
      </c>
      <c r="E291" s="2">
        <v>30.540001</v>
      </c>
      <c r="F291" s="3">
        <v>23.569849000000001</v>
      </c>
      <c r="G291" s="4">
        <v>1693900</v>
      </c>
      <c r="H291">
        <f t="shared" si="4"/>
        <v>1.917420726324727E-2</v>
      </c>
    </row>
    <row r="292" spans="1:8" x14ac:dyDescent="0.3">
      <c r="A292" s="1">
        <v>42429</v>
      </c>
      <c r="B292" s="2">
        <v>30.440000999999999</v>
      </c>
      <c r="C292" s="2">
        <v>31.09</v>
      </c>
      <c r="D292" s="2">
        <v>30.02</v>
      </c>
      <c r="E292" s="2">
        <v>30.82</v>
      </c>
      <c r="F292" s="3">
        <v>23.785941999999999</v>
      </c>
      <c r="G292" s="4">
        <v>2350400</v>
      </c>
      <c r="H292">
        <f t="shared" si="4"/>
        <v>9.1264973575414313E-3</v>
      </c>
    </row>
    <row r="293" spans="1:8" x14ac:dyDescent="0.3">
      <c r="A293" s="1">
        <v>42430</v>
      </c>
      <c r="B293" s="2">
        <v>31.049999</v>
      </c>
      <c r="C293" s="2">
        <v>31.24</v>
      </c>
      <c r="D293" s="2">
        <v>30.49</v>
      </c>
      <c r="E293" s="2">
        <v>30.940000999999999</v>
      </c>
      <c r="F293" s="3">
        <v>23.878554999999999</v>
      </c>
      <c r="G293" s="4">
        <v>2130100</v>
      </c>
      <c r="H293">
        <f t="shared" si="4"/>
        <v>3.8860475735703935E-3</v>
      </c>
    </row>
    <row r="294" spans="1:8" x14ac:dyDescent="0.3">
      <c r="A294" s="1">
        <v>42431</v>
      </c>
      <c r="B294" s="2">
        <v>30.879999000000002</v>
      </c>
      <c r="C294" s="2">
        <v>31.68</v>
      </c>
      <c r="D294" s="2">
        <v>29.16</v>
      </c>
      <c r="E294" s="2">
        <v>31.290001</v>
      </c>
      <c r="F294" s="3">
        <v>24.148674</v>
      </c>
      <c r="G294" s="4">
        <v>4113100</v>
      </c>
      <c r="H294">
        <f t="shared" si="4"/>
        <v>1.1248712174342593E-2</v>
      </c>
    </row>
    <row r="295" spans="1:8" x14ac:dyDescent="0.3">
      <c r="A295" s="1">
        <v>42432</v>
      </c>
      <c r="B295" s="2">
        <v>31.360001</v>
      </c>
      <c r="C295" s="2">
        <v>32.950001</v>
      </c>
      <c r="D295" s="2">
        <v>31.280000999999999</v>
      </c>
      <c r="E295" s="2">
        <v>32.709999000000003</v>
      </c>
      <c r="F295" s="3">
        <v>25.244589000000001</v>
      </c>
      <c r="G295" s="4">
        <v>3549000</v>
      </c>
      <c r="H295">
        <f t="shared" si="4"/>
        <v>4.4382221338718934E-2</v>
      </c>
    </row>
    <row r="296" spans="1:8" x14ac:dyDescent="0.3">
      <c r="A296" s="1">
        <v>42433</v>
      </c>
      <c r="B296" s="2">
        <v>32.270000000000003</v>
      </c>
      <c r="C296" s="2">
        <v>32.560001</v>
      </c>
      <c r="D296" s="2">
        <v>31.190000999999999</v>
      </c>
      <c r="E296" s="2">
        <v>31.23</v>
      </c>
      <c r="F296" s="3">
        <v>24.378124</v>
      </c>
      <c r="G296" s="4">
        <v>2530400</v>
      </c>
      <c r="H296">
        <f t="shared" si="4"/>
        <v>-4.6301639683614296E-2</v>
      </c>
    </row>
    <row r="297" spans="1:8" x14ac:dyDescent="0.3">
      <c r="A297" s="1">
        <v>42436</v>
      </c>
      <c r="B297" s="2">
        <v>31.030000999999999</v>
      </c>
      <c r="C297" s="2">
        <v>31.700001</v>
      </c>
      <c r="D297" s="2">
        <v>30.379999000000002</v>
      </c>
      <c r="E297" s="2">
        <v>30.74</v>
      </c>
      <c r="F297" s="3">
        <v>23.995629999999998</v>
      </c>
      <c r="G297" s="4">
        <v>2830300</v>
      </c>
      <c r="H297">
        <f t="shared" si="4"/>
        <v>-1.5814433184537471E-2</v>
      </c>
    </row>
    <row r="298" spans="1:8" x14ac:dyDescent="0.3">
      <c r="A298" s="1">
        <v>42437</v>
      </c>
      <c r="B298" s="2">
        <v>30.889999</v>
      </c>
      <c r="C298" s="2">
        <v>30.99</v>
      </c>
      <c r="D298" s="2">
        <v>29.809999000000001</v>
      </c>
      <c r="E298" s="2">
        <v>30.120000999999998</v>
      </c>
      <c r="F298" s="3">
        <v>23.511655999999999</v>
      </c>
      <c r="G298" s="4">
        <v>2328500</v>
      </c>
      <c r="H298">
        <f t="shared" si="4"/>
        <v>-2.0375301978226339E-2</v>
      </c>
    </row>
    <row r="299" spans="1:8" x14ac:dyDescent="0.3">
      <c r="A299" s="1">
        <v>42438</v>
      </c>
      <c r="B299" s="2">
        <v>30.379999000000002</v>
      </c>
      <c r="C299" s="2">
        <v>31.57</v>
      </c>
      <c r="D299" s="2">
        <v>30.16</v>
      </c>
      <c r="E299" s="2">
        <v>31.290001</v>
      </c>
      <c r="F299" s="3">
        <v>24.424961</v>
      </c>
      <c r="G299" s="4">
        <v>2594500</v>
      </c>
      <c r="H299">
        <f t="shared" si="4"/>
        <v>3.8109153507659192E-2</v>
      </c>
    </row>
    <row r="300" spans="1:8" x14ac:dyDescent="0.3">
      <c r="A300" s="1">
        <v>42439</v>
      </c>
      <c r="B300" s="2">
        <v>31.33</v>
      </c>
      <c r="C300" s="2">
        <v>31.33</v>
      </c>
      <c r="D300" s="2">
        <v>29.940000999999999</v>
      </c>
      <c r="E300" s="2">
        <v>30.440000999999999</v>
      </c>
      <c r="F300" s="3">
        <v>23.761448000000001</v>
      </c>
      <c r="G300" s="4">
        <v>2049300</v>
      </c>
      <c r="H300">
        <f t="shared" si="4"/>
        <v>-2.7541023794886915E-2</v>
      </c>
    </row>
    <row r="301" spans="1:8" x14ac:dyDescent="0.3">
      <c r="A301" s="1">
        <v>42440</v>
      </c>
      <c r="B301" s="2">
        <v>30.540001</v>
      </c>
      <c r="C301" s="2">
        <v>31.09</v>
      </c>
      <c r="D301" s="2">
        <v>30.440000999999999</v>
      </c>
      <c r="E301" s="2">
        <v>30.75</v>
      </c>
      <c r="F301" s="3">
        <v>24.003435</v>
      </c>
      <c r="G301" s="4">
        <v>1619300</v>
      </c>
      <c r="H301">
        <f t="shared" si="4"/>
        <v>1.0132428407531252E-2</v>
      </c>
    </row>
    <row r="302" spans="1:8" x14ac:dyDescent="0.3">
      <c r="A302" s="1">
        <v>42443</v>
      </c>
      <c r="B302" s="2">
        <v>30.76</v>
      </c>
      <c r="C302" s="2">
        <v>32.029998999999997</v>
      </c>
      <c r="D302" s="2">
        <v>30.719999000000001</v>
      </c>
      <c r="E302" s="2">
        <v>31.66</v>
      </c>
      <c r="F302" s="3">
        <v>24.713781000000001</v>
      </c>
      <c r="G302" s="4">
        <v>1730400</v>
      </c>
      <c r="H302">
        <f t="shared" si="4"/>
        <v>2.9164060200339167E-2</v>
      </c>
    </row>
    <row r="303" spans="1:8" x14ac:dyDescent="0.3">
      <c r="A303" s="1">
        <v>42444</v>
      </c>
      <c r="B303" s="2">
        <v>31.51</v>
      </c>
      <c r="C303" s="2">
        <v>31.73</v>
      </c>
      <c r="D303" s="2">
        <v>29.969999000000001</v>
      </c>
      <c r="E303" s="2">
        <v>30.780000999999999</v>
      </c>
      <c r="F303" s="3">
        <v>24.026854</v>
      </c>
      <c r="G303" s="4">
        <v>2027900</v>
      </c>
      <c r="H303">
        <f t="shared" si="4"/>
        <v>-2.8188893553504502E-2</v>
      </c>
    </row>
    <row r="304" spans="1:8" x14ac:dyDescent="0.3">
      <c r="A304" s="1">
        <v>42445</v>
      </c>
      <c r="B304" s="2">
        <v>31.15</v>
      </c>
      <c r="C304" s="2">
        <v>32.009998000000003</v>
      </c>
      <c r="D304" s="2">
        <v>30.82</v>
      </c>
      <c r="E304" s="2">
        <v>31.91</v>
      </c>
      <c r="F304" s="3">
        <v>24.908930000000002</v>
      </c>
      <c r="G304" s="4">
        <v>1562400</v>
      </c>
      <c r="H304">
        <f t="shared" si="4"/>
        <v>3.6054279390790665E-2</v>
      </c>
    </row>
    <row r="305" spans="1:8" x14ac:dyDescent="0.3">
      <c r="A305" s="1">
        <v>42446</v>
      </c>
      <c r="B305" s="2">
        <v>32.18</v>
      </c>
      <c r="C305" s="2">
        <v>32.220001000000003</v>
      </c>
      <c r="D305" s="2">
        <v>31.01</v>
      </c>
      <c r="E305" s="2">
        <v>31.360001</v>
      </c>
      <c r="F305" s="3">
        <v>24.479596999999998</v>
      </c>
      <c r="G305" s="4">
        <v>3050200</v>
      </c>
      <c r="H305">
        <f t="shared" si="4"/>
        <v>-1.7386212920190464E-2</v>
      </c>
    </row>
    <row r="306" spans="1:8" x14ac:dyDescent="0.3">
      <c r="A306" s="1">
        <v>42447</v>
      </c>
      <c r="B306" s="2">
        <v>31.58</v>
      </c>
      <c r="C306" s="2">
        <v>32.290000999999997</v>
      </c>
      <c r="D306" s="2">
        <v>30.790001</v>
      </c>
      <c r="E306" s="2">
        <v>30.83</v>
      </c>
      <c r="F306" s="3">
        <v>24.065881999999998</v>
      </c>
      <c r="G306" s="4">
        <v>5542700</v>
      </c>
      <c r="H306">
        <f t="shared" si="4"/>
        <v>-1.7044985471902724E-2</v>
      </c>
    </row>
    <row r="307" spans="1:8" x14ac:dyDescent="0.3">
      <c r="A307" s="1">
        <v>42450</v>
      </c>
      <c r="B307" s="2">
        <v>30.92</v>
      </c>
      <c r="C307" s="2">
        <v>31.66</v>
      </c>
      <c r="D307" s="2">
        <v>30.049999</v>
      </c>
      <c r="E307" s="2">
        <v>30.85</v>
      </c>
      <c r="F307" s="3">
        <v>24.081496999999999</v>
      </c>
      <c r="G307" s="4">
        <v>3358700</v>
      </c>
      <c r="H307">
        <f t="shared" si="4"/>
        <v>6.4850845333786758E-4</v>
      </c>
    </row>
    <row r="308" spans="1:8" x14ac:dyDescent="0.3">
      <c r="A308" s="1">
        <v>42451</v>
      </c>
      <c r="B308" s="2">
        <v>30.75</v>
      </c>
      <c r="C308" s="2">
        <v>30.790001</v>
      </c>
      <c r="D308" s="2">
        <v>30.01</v>
      </c>
      <c r="E308" s="2">
        <v>30.18</v>
      </c>
      <c r="F308" s="3">
        <v>23.558491</v>
      </c>
      <c r="G308" s="4">
        <v>2175000</v>
      </c>
      <c r="H308">
        <f t="shared" si="4"/>
        <v>-2.1957297011694028E-2</v>
      </c>
    </row>
    <row r="309" spans="1:8" x14ac:dyDescent="0.3">
      <c r="A309" s="1">
        <v>42452</v>
      </c>
      <c r="B309" s="2">
        <v>30.18</v>
      </c>
      <c r="C309" s="2">
        <v>30.809999000000001</v>
      </c>
      <c r="D309" s="2">
        <v>30.049999</v>
      </c>
      <c r="E309" s="2">
        <v>30.370000999999998</v>
      </c>
      <c r="F309" s="3">
        <v>23.706810000000001</v>
      </c>
      <c r="G309" s="4">
        <v>1969200</v>
      </c>
      <c r="H309">
        <f t="shared" si="4"/>
        <v>6.2758586451846995E-3</v>
      </c>
    </row>
    <row r="310" spans="1:8" x14ac:dyDescent="0.3">
      <c r="A310" s="1">
        <v>42453</v>
      </c>
      <c r="B310" s="2">
        <v>30.34</v>
      </c>
      <c r="C310" s="2">
        <v>30.5</v>
      </c>
      <c r="D310" s="2">
        <v>29.610001</v>
      </c>
      <c r="E310" s="2">
        <v>30.27</v>
      </c>
      <c r="F310" s="3">
        <v>23.628746</v>
      </c>
      <c r="G310" s="4">
        <v>4488100</v>
      </c>
      <c r="H310">
        <f t="shared" si="4"/>
        <v>-3.2981889512603562E-3</v>
      </c>
    </row>
    <row r="311" spans="1:8" x14ac:dyDescent="0.3">
      <c r="A311" s="1">
        <v>42457</v>
      </c>
      <c r="B311" s="2">
        <v>28.950001</v>
      </c>
      <c r="C311" s="2">
        <v>30.950001</v>
      </c>
      <c r="D311" s="2">
        <v>28.4</v>
      </c>
      <c r="E311" s="2">
        <v>30.09</v>
      </c>
      <c r="F311" s="3">
        <v>23.488240999999999</v>
      </c>
      <c r="G311" s="4">
        <v>8247200</v>
      </c>
      <c r="H311">
        <f t="shared" si="4"/>
        <v>-5.9642323916734392E-3</v>
      </c>
    </row>
    <row r="312" spans="1:8" x14ac:dyDescent="0.3">
      <c r="A312" s="1">
        <v>42458</v>
      </c>
      <c r="B312" s="2">
        <v>30.18</v>
      </c>
      <c r="C312" s="2">
        <v>31.93</v>
      </c>
      <c r="D312" s="2">
        <v>30</v>
      </c>
      <c r="E312" s="2">
        <v>31.51</v>
      </c>
      <c r="F312" s="3">
        <v>24.596691</v>
      </c>
      <c r="G312" s="4">
        <v>3802500</v>
      </c>
      <c r="H312">
        <f t="shared" si="4"/>
        <v>4.6112065127229394E-2</v>
      </c>
    </row>
    <row r="313" spans="1:8" x14ac:dyDescent="0.3">
      <c r="A313" s="1">
        <v>42459</v>
      </c>
      <c r="B313" s="2">
        <v>31.57</v>
      </c>
      <c r="C313" s="2">
        <v>31.969999000000001</v>
      </c>
      <c r="D313" s="2">
        <v>31</v>
      </c>
      <c r="E313" s="2">
        <v>31.76</v>
      </c>
      <c r="F313" s="3">
        <v>24.791840000000001</v>
      </c>
      <c r="G313" s="4">
        <v>2522100</v>
      </c>
      <c r="H313">
        <f t="shared" si="4"/>
        <v>7.9026806097517877E-3</v>
      </c>
    </row>
    <row r="314" spans="1:8" x14ac:dyDescent="0.3">
      <c r="A314" s="1">
        <v>42460</v>
      </c>
      <c r="B314" s="2">
        <v>31.870000999999998</v>
      </c>
      <c r="C314" s="2">
        <v>32.43</v>
      </c>
      <c r="D314" s="2">
        <v>31.67</v>
      </c>
      <c r="E314" s="2">
        <v>31.73</v>
      </c>
      <c r="F314" s="3">
        <v>24.768422999999999</v>
      </c>
      <c r="G314" s="4">
        <v>2094000</v>
      </c>
      <c r="H314">
        <f t="shared" si="4"/>
        <v>-9.4503078383083143E-4</v>
      </c>
    </row>
    <row r="315" spans="1:8" x14ac:dyDescent="0.3">
      <c r="A315" s="1">
        <v>42461</v>
      </c>
      <c r="B315" s="2">
        <v>31.73</v>
      </c>
      <c r="C315" s="2">
        <v>31.76</v>
      </c>
      <c r="D315" s="2">
        <v>30.709999</v>
      </c>
      <c r="E315" s="2">
        <v>31.34</v>
      </c>
      <c r="F315" s="3">
        <v>24.463989000000002</v>
      </c>
      <c r="G315" s="4">
        <v>2135100</v>
      </c>
      <c r="H315">
        <f t="shared" si="4"/>
        <v>-1.2367368667229451E-2</v>
      </c>
    </row>
    <row r="316" spans="1:8" x14ac:dyDescent="0.3">
      <c r="A316" s="1">
        <v>42464</v>
      </c>
      <c r="B316" s="2">
        <v>31.389999</v>
      </c>
      <c r="C316" s="2">
        <v>31.42</v>
      </c>
      <c r="D316" s="2">
        <v>30.709999</v>
      </c>
      <c r="E316" s="2">
        <v>30.93</v>
      </c>
      <c r="F316" s="3">
        <v>24.143944000000001</v>
      </c>
      <c r="G316" s="4">
        <v>1491800</v>
      </c>
      <c r="H316">
        <f t="shared" si="4"/>
        <v>-1.3168650230896471E-2</v>
      </c>
    </row>
    <row r="317" spans="1:8" x14ac:dyDescent="0.3">
      <c r="A317" s="1">
        <v>42465</v>
      </c>
      <c r="B317" s="2">
        <v>30.799999</v>
      </c>
      <c r="C317" s="2">
        <v>31.08</v>
      </c>
      <c r="D317" s="2">
        <v>30.219999000000001</v>
      </c>
      <c r="E317" s="2">
        <v>30.290001</v>
      </c>
      <c r="F317" s="3">
        <v>23.644358</v>
      </c>
      <c r="G317" s="4">
        <v>1751000</v>
      </c>
      <c r="H317">
        <f t="shared" si="4"/>
        <v>-2.09089286436367E-2</v>
      </c>
    </row>
    <row r="318" spans="1:8" x14ac:dyDescent="0.3">
      <c r="A318" s="1">
        <v>42466</v>
      </c>
      <c r="B318" s="2">
        <v>30.25</v>
      </c>
      <c r="C318" s="2">
        <v>31.1</v>
      </c>
      <c r="D318" s="2">
        <v>29.790001</v>
      </c>
      <c r="E318" s="2">
        <v>30.09</v>
      </c>
      <c r="F318" s="3">
        <v>23.488240999999999</v>
      </c>
      <c r="G318" s="4">
        <v>2301500</v>
      </c>
      <c r="H318">
        <f t="shared" si="4"/>
        <v>-6.6247674113876212E-3</v>
      </c>
    </row>
    <row r="319" spans="1:8" x14ac:dyDescent="0.3">
      <c r="A319" s="1">
        <v>42467</v>
      </c>
      <c r="B319" s="2">
        <v>30.110001</v>
      </c>
      <c r="C319" s="2">
        <v>30.209999</v>
      </c>
      <c r="D319" s="2">
        <v>29</v>
      </c>
      <c r="E319" s="2">
        <v>29.120000999999998</v>
      </c>
      <c r="F319" s="3">
        <v>22.731058000000001</v>
      </c>
      <c r="G319" s="4">
        <v>3673900</v>
      </c>
      <c r="H319">
        <f t="shared" si="4"/>
        <v>-3.2767632972809956E-2</v>
      </c>
    </row>
    <row r="320" spans="1:8" x14ac:dyDescent="0.3">
      <c r="A320" s="1">
        <v>42468</v>
      </c>
      <c r="B320" s="2">
        <v>29.27</v>
      </c>
      <c r="C320" s="2">
        <v>29.870000999999998</v>
      </c>
      <c r="D320" s="2">
        <v>29.120000999999998</v>
      </c>
      <c r="E320" s="2">
        <v>29.49</v>
      </c>
      <c r="F320" s="3">
        <v>23.019877999999999</v>
      </c>
      <c r="G320" s="4">
        <v>2122600</v>
      </c>
      <c r="H320">
        <f t="shared" si="4"/>
        <v>1.262596515804087E-2</v>
      </c>
    </row>
    <row r="321" spans="1:8" x14ac:dyDescent="0.3">
      <c r="A321" s="1">
        <v>42471</v>
      </c>
      <c r="B321" s="2">
        <v>29.74</v>
      </c>
      <c r="C321" s="2">
        <v>30.620000999999998</v>
      </c>
      <c r="D321" s="2">
        <v>29.719999000000001</v>
      </c>
      <c r="E321" s="2">
        <v>29.879999000000002</v>
      </c>
      <c r="F321" s="3">
        <v>23.324310000000001</v>
      </c>
      <c r="G321" s="4">
        <v>2045300</v>
      </c>
      <c r="H321">
        <f t="shared" si="4"/>
        <v>1.3138103970229157E-2</v>
      </c>
    </row>
    <row r="322" spans="1:8" x14ac:dyDescent="0.3">
      <c r="A322" s="1">
        <v>42472</v>
      </c>
      <c r="B322" s="2">
        <v>30</v>
      </c>
      <c r="C322" s="2">
        <v>30.469999000000001</v>
      </c>
      <c r="D322" s="2">
        <v>29.709999</v>
      </c>
      <c r="E322" s="2">
        <v>30.09</v>
      </c>
      <c r="F322" s="3">
        <v>23.488240999999999</v>
      </c>
      <c r="G322" s="4">
        <v>1960100</v>
      </c>
      <c r="H322">
        <f t="shared" si="4"/>
        <v>7.0035638445399718E-3</v>
      </c>
    </row>
    <row r="323" spans="1:8" x14ac:dyDescent="0.3">
      <c r="A323" s="1">
        <v>42473</v>
      </c>
      <c r="B323" s="2">
        <v>30.25</v>
      </c>
      <c r="C323" s="2">
        <v>31.6</v>
      </c>
      <c r="D323" s="2">
        <v>30.190000999999999</v>
      </c>
      <c r="E323" s="2">
        <v>31.469999000000001</v>
      </c>
      <c r="F323" s="3">
        <v>24.565463999999999</v>
      </c>
      <c r="G323" s="4">
        <v>2172900</v>
      </c>
      <c r="H323">
        <f t="shared" si="4"/>
        <v>4.4841788658066199E-2</v>
      </c>
    </row>
    <row r="324" spans="1:8" x14ac:dyDescent="0.3">
      <c r="A324" s="1">
        <v>42474</v>
      </c>
      <c r="B324" s="2">
        <v>31.360001</v>
      </c>
      <c r="C324" s="2">
        <v>31.73</v>
      </c>
      <c r="D324" s="2">
        <v>30.610001</v>
      </c>
      <c r="E324" s="2">
        <v>31.65</v>
      </c>
      <c r="F324" s="3">
        <v>24.705973</v>
      </c>
      <c r="G324" s="4">
        <v>2564900</v>
      </c>
      <c r="H324">
        <f t="shared" ref="H324:H387" si="5">LN(E324/E323)</f>
        <v>5.7034692901650396E-3</v>
      </c>
    </row>
    <row r="325" spans="1:8" x14ac:dyDescent="0.3">
      <c r="A325" s="1">
        <v>42475</v>
      </c>
      <c r="B325" s="2">
        <v>31.75</v>
      </c>
      <c r="C325" s="2">
        <v>32.139999000000003</v>
      </c>
      <c r="D325" s="2">
        <v>31.51</v>
      </c>
      <c r="E325" s="2">
        <v>31.790001</v>
      </c>
      <c r="F325" s="3">
        <v>24.815258</v>
      </c>
      <c r="G325" s="4">
        <v>2585500</v>
      </c>
      <c r="H325">
        <f t="shared" si="5"/>
        <v>4.4136577889584408E-3</v>
      </c>
    </row>
    <row r="326" spans="1:8" x14ac:dyDescent="0.3">
      <c r="A326" s="1">
        <v>42478</v>
      </c>
      <c r="B326" s="2">
        <v>31.860001</v>
      </c>
      <c r="C326" s="2">
        <v>32.389999000000003</v>
      </c>
      <c r="D326" s="2">
        <v>31.629999000000002</v>
      </c>
      <c r="E326" s="2">
        <v>32.209999000000003</v>
      </c>
      <c r="F326" s="3">
        <v>25.14311</v>
      </c>
      <c r="G326" s="4">
        <v>1782200</v>
      </c>
      <c r="H326">
        <f t="shared" si="5"/>
        <v>1.3125125917704367E-2</v>
      </c>
    </row>
    <row r="327" spans="1:8" x14ac:dyDescent="0.3">
      <c r="A327" s="1">
        <v>42479</v>
      </c>
      <c r="B327" s="2">
        <v>32.340000000000003</v>
      </c>
      <c r="C327" s="2">
        <v>32.549999</v>
      </c>
      <c r="D327" s="2">
        <v>32.119999</v>
      </c>
      <c r="E327" s="2">
        <v>32.450001</v>
      </c>
      <c r="F327" s="3">
        <v>25.330458</v>
      </c>
      <c r="G327" s="4">
        <v>1662700</v>
      </c>
      <c r="H327">
        <f t="shared" si="5"/>
        <v>7.4235416698914024E-3</v>
      </c>
    </row>
    <row r="328" spans="1:8" x14ac:dyDescent="0.3">
      <c r="A328" s="1">
        <v>42480</v>
      </c>
      <c r="B328" s="2">
        <v>32.490001999999997</v>
      </c>
      <c r="C328" s="2">
        <v>33.290000999999997</v>
      </c>
      <c r="D328" s="2">
        <v>32.330002</v>
      </c>
      <c r="E328" s="2">
        <v>32.889999000000003</v>
      </c>
      <c r="F328" s="3">
        <v>25.673915999999998</v>
      </c>
      <c r="G328" s="4">
        <v>2754000</v>
      </c>
      <c r="H328">
        <f t="shared" si="5"/>
        <v>1.3468155829847547E-2</v>
      </c>
    </row>
    <row r="329" spans="1:8" x14ac:dyDescent="0.3">
      <c r="A329" s="1">
        <v>42481</v>
      </c>
      <c r="B329" s="2">
        <v>32.889999000000003</v>
      </c>
      <c r="C329" s="2">
        <v>33.090000000000003</v>
      </c>
      <c r="D329" s="2">
        <v>32.209999000000003</v>
      </c>
      <c r="E329" s="2">
        <v>32.310001</v>
      </c>
      <c r="F329" s="3">
        <v>25.221167000000001</v>
      </c>
      <c r="G329" s="4">
        <v>2581400</v>
      </c>
      <c r="H329">
        <f t="shared" si="5"/>
        <v>-1.7791819010010406E-2</v>
      </c>
    </row>
    <row r="330" spans="1:8" x14ac:dyDescent="0.3">
      <c r="A330" s="1">
        <v>42482</v>
      </c>
      <c r="B330" s="2">
        <v>32.270000000000003</v>
      </c>
      <c r="C330" s="2">
        <v>32.900002000000001</v>
      </c>
      <c r="D330" s="2">
        <v>32.189999</v>
      </c>
      <c r="E330" s="2">
        <v>32.799999</v>
      </c>
      <c r="F330" s="3">
        <v>25.603662</v>
      </c>
      <c r="G330" s="4">
        <v>22220500</v>
      </c>
      <c r="H330">
        <f t="shared" si="5"/>
        <v>1.5051674115716111E-2</v>
      </c>
    </row>
    <row r="331" spans="1:8" x14ac:dyDescent="0.3">
      <c r="A331" s="1">
        <v>42485</v>
      </c>
      <c r="B331" s="2">
        <v>32.68</v>
      </c>
      <c r="C331" s="2">
        <v>33</v>
      </c>
      <c r="D331" s="2">
        <v>32.43</v>
      </c>
      <c r="E331" s="2">
        <v>32.799999</v>
      </c>
      <c r="F331" s="3">
        <v>25.603662</v>
      </c>
      <c r="G331" s="4">
        <v>2062800</v>
      </c>
      <c r="H331">
        <f t="shared" si="5"/>
        <v>0</v>
      </c>
    </row>
    <row r="332" spans="1:8" x14ac:dyDescent="0.3">
      <c r="A332" s="1">
        <v>42486</v>
      </c>
      <c r="B332" s="2">
        <v>32.75</v>
      </c>
      <c r="C332" s="2">
        <v>33.340000000000003</v>
      </c>
      <c r="D332" s="2">
        <v>32.599997999999999</v>
      </c>
      <c r="E332" s="2">
        <v>33.32</v>
      </c>
      <c r="F332" s="3">
        <v>26.009577</v>
      </c>
      <c r="G332" s="4">
        <v>1990300</v>
      </c>
      <c r="H332">
        <f t="shared" si="5"/>
        <v>1.572933239634916E-2</v>
      </c>
    </row>
    <row r="333" spans="1:8" x14ac:dyDescent="0.3">
      <c r="A333" s="1">
        <v>42487</v>
      </c>
      <c r="B333" s="2">
        <v>33.200001</v>
      </c>
      <c r="C333" s="2">
        <v>33.720001000000003</v>
      </c>
      <c r="D333" s="2">
        <v>33.099997999999999</v>
      </c>
      <c r="E333" s="2">
        <v>33.380001</v>
      </c>
      <c r="F333" s="3">
        <v>26.056412000000002</v>
      </c>
      <c r="G333" s="4">
        <v>2835800</v>
      </c>
      <c r="H333">
        <f t="shared" si="5"/>
        <v>1.799130893105355E-3</v>
      </c>
    </row>
    <row r="334" spans="1:8" x14ac:dyDescent="0.3">
      <c r="A334" s="1">
        <v>42488</v>
      </c>
      <c r="B334" s="2">
        <v>33.169998</v>
      </c>
      <c r="C334" s="2">
        <v>33.32</v>
      </c>
      <c r="D334" s="2">
        <v>32.779998999999997</v>
      </c>
      <c r="E334" s="2">
        <v>32.900002000000001</v>
      </c>
      <c r="F334" s="3">
        <v>25.681723000000002</v>
      </c>
      <c r="G334" s="4">
        <v>2144800</v>
      </c>
      <c r="H334">
        <f t="shared" si="5"/>
        <v>-1.4484229630149325E-2</v>
      </c>
    </row>
    <row r="335" spans="1:8" x14ac:dyDescent="0.3">
      <c r="A335" s="1">
        <v>42489</v>
      </c>
      <c r="B335" s="2">
        <v>32.900002000000001</v>
      </c>
      <c r="C335" s="2">
        <v>33.020000000000003</v>
      </c>
      <c r="D335" s="2">
        <v>32.369999</v>
      </c>
      <c r="E335" s="2">
        <v>32.799999</v>
      </c>
      <c r="F335" s="3">
        <v>25.603662</v>
      </c>
      <c r="G335" s="4">
        <v>2118400</v>
      </c>
      <c r="H335">
        <f t="shared" si="5"/>
        <v>-3.0442336593052796E-3</v>
      </c>
    </row>
    <row r="336" spans="1:8" x14ac:dyDescent="0.3">
      <c r="A336" s="1">
        <v>42492</v>
      </c>
      <c r="B336" s="2">
        <v>32.810001</v>
      </c>
      <c r="C336" s="2">
        <v>32.860000999999997</v>
      </c>
      <c r="D336" s="2">
        <v>31.950001</v>
      </c>
      <c r="E336" s="2">
        <v>32.360000999999997</v>
      </c>
      <c r="F336" s="3">
        <v>25.260202</v>
      </c>
      <c r="G336" s="4">
        <v>2647500</v>
      </c>
      <c r="H336">
        <f t="shared" si="5"/>
        <v>-1.3505361809653707E-2</v>
      </c>
    </row>
    <row r="337" spans="1:8" x14ac:dyDescent="0.3">
      <c r="A337" s="1">
        <v>42493</v>
      </c>
      <c r="B337" s="2">
        <v>32.209999000000003</v>
      </c>
      <c r="C337" s="2">
        <v>32.369999</v>
      </c>
      <c r="D337" s="2">
        <v>31.299999</v>
      </c>
      <c r="E337" s="2">
        <v>31.299999</v>
      </c>
      <c r="F337" s="3">
        <v>24.432762</v>
      </c>
      <c r="G337" s="4">
        <v>2640200</v>
      </c>
      <c r="H337">
        <f t="shared" si="5"/>
        <v>-3.3305057495413667E-2</v>
      </c>
    </row>
    <row r="338" spans="1:8" x14ac:dyDescent="0.3">
      <c r="A338" s="1">
        <v>42494</v>
      </c>
      <c r="B338" s="2">
        <v>31.200001</v>
      </c>
      <c r="C338" s="2">
        <v>31.34</v>
      </c>
      <c r="D338" s="2">
        <v>30.33</v>
      </c>
      <c r="E338" s="2">
        <v>30.74</v>
      </c>
      <c r="F338" s="3">
        <v>23.995629999999998</v>
      </c>
      <c r="G338" s="4">
        <v>2870800</v>
      </c>
      <c r="H338">
        <f t="shared" si="5"/>
        <v>-1.8053327486775423E-2</v>
      </c>
    </row>
    <row r="339" spans="1:8" x14ac:dyDescent="0.3">
      <c r="A339" s="1">
        <v>42495</v>
      </c>
      <c r="B339" s="2">
        <v>30.690000999999999</v>
      </c>
      <c r="C339" s="2">
        <v>30.76</v>
      </c>
      <c r="D339" s="2">
        <v>29.969999000000001</v>
      </c>
      <c r="E339" s="2">
        <v>30.110001</v>
      </c>
      <c r="F339" s="3">
        <v>23.503855000000001</v>
      </c>
      <c r="G339" s="4">
        <v>2147700</v>
      </c>
      <c r="H339">
        <f t="shared" si="5"/>
        <v>-2.070736240525017E-2</v>
      </c>
    </row>
    <row r="340" spans="1:8" x14ac:dyDescent="0.3">
      <c r="A340" s="1">
        <v>42496</v>
      </c>
      <c r="B340" s="2">
        <v>30.209999</v>
      </c>
      <c r="C340" s="2">
        <v>30.23</v>
      </c>
      <c r="D340" s="2">
        <v>29.370000999999998</v>
      </c>
      <c r="E340" s="2">
        <v>30.09</v>
      </c>
      <c r="F340" s="3">
        <v>23.488240999999999</v>
      </c>
      <c r="G340" s="4">
        <v>1955700</v>
      </c>
      <c r="H340">
        <f t="shared" si="5"/>
        <v>-6.6448506324570883E-4</v>
      </c>
    </row>
    <row r="341" spans="1:8" x14ac:dyDescent="0.3">
      <c r="A341" s="1">
        <v>42499</v>
      </c>
      <c r="B341" s="2">
        <v>30.1</v>
      </c>
      <c r="C341" s="2">
        <v>30.49</v>
      </c>
      <c r="D341" s="2">
        <v>30.040001</v>
      </c>
      <c r="E341" s="2">
        <v>30.190000999999999</v>
      </c>
      <c r="F341" s="3">
        <v>23.566299000000001</v>
      </c>
      <c r="G341" s="4">
        <v>1884600</v>
      </c>
      <c r="H341">
        <f t="shared" si="5"/>
        <v>3.3178862003439215E-3</v>
      </c>
    </row>
    <row r="342" spans="1:8" x14ac:dyDescent="0.3">
      <c r="A342" s="1">
        <v>42500</v>
      </c>
      <c r="B342" s="2">
        <v>30.26</v>
      </c>
      <c r="C342" s="2">
        <v>30.66</v>
      </c>
      <c r="D342" s="2">
        <v>30.01</v>
      </c>
      <c r="E342" s="2">
        <v>30.52</v>
      </c>
      <c r="F342" s="3">
        <v>23.823896000000001</v>
      </c>
      <c r="G342" s="4">
        <v>1318700</v>
      </c>
      <c r="H342">
        <f t="shared" si="5"/>
        <v>1.0871429573958525E-2</v>
      </c>
    </row>
    <row r="343" spans="1:8" x14ac:dyDescent="0.3">
      <c r="A343" s="1">
        <v>42501</v>
      </c>
      <c r="B343" s="2">
        <v>30.15</v>
      </c>
      <c r="C343" s="2">
        <v>30.15</v>
      </c>
      <c r="D343" s="2">
        <v>28.92</v>
      </c>
      <c r="E343" s="2">
        <v>29.200001</v>
      </c>
      <c r="F343" s="3">
        <v>22.793507000000002</v>
      </c>
      <c r="G343" s="4">
        <v>2999300</v>
      </c>
      <c r="H343">
        <f t="shared" si="5"/>
        <v>-4.4213462895445456E-2</v>
      </c>
    </row>
    <row r="344" spans="1:8" x14ac:dyDescent="0.3">
      <c r="A344" s="1">
        <v>42502</v>
      </c>
      <c r="B344" s="2">
        <v>29.299999</v>
      </c>
      <c r="C344" s="2">
        <v>29.389999</v>
      </c>
      <c r="D344" s="2">
        <v>28.85</v>
      </c>
      <c r="E344" s="2">
        <v>29.1</v>
      </c>
      <c r="F344" s="3">
        <v>22.715444999999999</v>
      </c>
      <c r="G344" s="4">
        <v>2149700</v>
      </c>
      <c r="H344">
        <f t="shared" si="5"/>
        <v>-3.4305693433639046E-3</v>
      </c>
    </row>
    <row r="345" spans="1:8" x14ac:dyDescent="0.3">
      <c r="A345" s="1">
        <v>42503</v>
      </c>
      <c r="B345" s="2">
        <v>29.1</v>
      </c>
      <c r="C345" s="2">
        <v>29.32</v>
      </c>
      <c r="D345" s="2">
        <v>28.41</v>
      </c>
      <c r="E345" s="2">
        <v>28.73</v>
      </c>
      <c r="F345" s="3">
        <v>22.426624</v>
      </c>
      <c r="G345" s="4">
        <v>2963600</v>
      </c>
      <c r="H345">
        <f t="shared" si="5"/>
        <v>-1.2796301186248712E-2</v>
      </c>
    </row>
    <row r="346" spans="1:8" x14ac:dyDescent="0.3">
      <c r="A346" s="1">
        <v>42506</v>
      </c>
      <c r="B346" s="2">
        <v>28.76</v>
      </c>
      <c r="C346" s="2">
        <v>29.120000999999998</v>
      </c>
      <c r="D346" s="2">
        <v>28.559999000000001</v>
      </c>
      <c r="E346" s="2">
        <v>29.02</v>
      </c>
      <c r="F346" s="3">
        <v>22.652998</v>
      </c>
      <c r="G346" s="4">
        <v>3026100</v>
      </c>
      <c r="H346">
        <f t="shared" si="5"/>
        <v>1.0043374464843552E-2</v>
      </c>
    </row>
    <row r="347" spans="1:8" x14ac:dyDescent="0.3">
      <c r="A347" s="1">
        <v>42507</v>
      </c>
      <c r="B347" s="2">
        <v>29.09</v>
      </c>
      <c r="C347" s="2">
        <v>29.4</v>
      </c>
      <c r="D347" s="2">
        <v>28.41</v>
      </c>
      <c r="E347" s="2">
        <v>28.459999</v>
      </c>
      <c r="F347" s="3">
        <v>22.215862000000001</v>
      </c>
      <c r="G347" s="4">
        <v>3047300</v>
      </c>
      <c r="H347">
        <f t="shared" si="5"/>
        <v>-1.9485689931370551E-2</v>
      </c>
    </row>
    <row r="348" spans="1:8" x14ac:dyDescent="0.3">
      <c r="A348" s="1">
        <v>42508</v>
      </c>
      <c r="B348" s="2">
        <v>28.33</v>
      </c>
      <c r="C348" s="2">
        <v>28.370000999999998</v>
      </c>
      <c r="D348" s="2">
        <v>27.780000999999999</v>
      </c>
      <c r="E348" s="2">
        <v>28.030000999999999</v>
      </c>
      <c r="F348" s="3">
        <v>21.880205</v>
      </c>
      <c r="G348" s="4">
        <v>3887200</v>
      </c>
      <c r="H348">
        <f t="shared" si="5"/>
        <v>-1.5224156671913678E-2</v>
      </c>
    </row>
    <row r="349" spans="1:8" x14ac:dyDescent="0.3">
      <c r="A349" s="1">
        <v>42509</v>
      </c>
      <c r="B349" s="2">
        <v>28.040001</v>
      </c>
      <c r="C349" s="2">
        <v>28.58</v>
      </c>
      <c r="D349" s="2">
        <v>27.52</v>
      </c>
      <c r="E349" s="2">
        <v>28.549999</v>
      </c>
      <c r="F349" s="3">
        <v>22.286114000000001</v>
      </c>
      <c r="G349" s="4">
        <v>3142500</v>
      </c>
      <c r="H349">
        <f t="shared" si="5"/>
        <v>1.8381500222991298E-2</v>
      </c>
    </row>
    <row r="350" spans="1:8" x14ac:dyDescent="0.3">
      <c r="A350" s="1">
        <v>42510</v>
      </c>
      <c r="B350" s="2">
        <v>28.68</v>
      </c>
      <c r="C350" s="2">
        <v>28.74</v>
      </c>
      <c r="D350" s="2">
        <v>28.200001</v>
      </c>
      <c r="E350" s="2">
        <v>28.48</v>
      </c>
      <c r="F350" s="3">
        <v>22.231473999999999</v>
      </c>
      <c r="G350" s="4">
        <v>2329300</v>
      </c>
      <c r="H350">
        <f t="shared" si="5"/>
        <v>-2.4548145319738821E-3</v>
      </c>
    </row>
    <row r="351" spans="1:8" x14ac:dyDescent="0.3">
      <c r="A351" s="1">
        <v>42513</v>
      </c>
      <c r="B351" s="2">
        <v>28.610001</v>
      </c>
      <c r="C351" s="2">
        <v>28.870000999999998</v>
      </c>
      <c r="D351" s="2">
        <v>28.309999000000001</v>
      </c>
      <c r="E351" s="2">
        <v>28.469999000000001</v>
      </c>
      <c r="F351" s="3">
        <v>22.223669000000001</v>
      </c>
      <c r="G351" s="4">
        <v>2005700</v>
      </c>
      <c r="H351">
        <f t="shared" si="5"/>
        <v>-3.5122037852210956E-4</v>
      </c>
    </row>
    <row r="352" spans="1:8" x14ac:dyDescent="0.3">
      <c r="A352" s="1">
        <v>42514</v>
      </c>
      <c r="B352" s="2">
        <v>28.389999</v>
      </c>
      <c r="C352" s="2">
        <v>28.959999</v>
      </c>
      <c r="D352" s="2">
        <v>28.15</v>
      </c>
      <c r="E352" s="2">
        <v>28.700001</v>
      </c>
      <c r="F352" s="3">
        <v>22.403203999999999</v>
      </c>
      <c r="G352" s="4">
        <v>3522600</v>
      </c>
      <c r="H352">
        <f t="shared" si="5"/>
        <v>8.0462914435273369E-3</v>
      </c>
    </row>
    <row r="353" spans="1:8" x14ac:dyDescent="0.3">
      <c r="A353" s="1">
        <v>42515</v>
      </c>
      <c r="B353" s="2">
        <v>28.77</v>
      </c>
      <c r="C353" s="2">
        <v>29.84</v>
      </c>
      <c r="D353" s="2">
        <v>28.67</v>
      </c>
      <c r="E353" s="2">
        <v>29.73</v>
      </c>
      <c r="F353" s="3">
        <v>23.207225999999999</v>
      </c>
      <c r="G353" s="4">
        <v>4611800</v>
      </c>
      <c r="H353">
        <f t="shared" si="5"/>
        <v>3.5259479401225875E-2</v>
      </c>
    </row>
    <row r="354" spans="1:8" x14ac:dyDescent="0.3">
      <c r="A354" s="1">
        <v>42516</v>
      </c>
      <c r="B354" s="2">
        <v>29.99</v>
      </c>
      <c r="C354" s="2">
        <v>30.42</v>
      </c>
      <c r="D354" s="2">
        <v>29.889999</v>
      </c>
      <c r="E354" s="2">
        <v>29.98</v>
      </c>
      <c r="F354" s="3">
        <v>23.402376</v>
      </c>
      <c r="G354" s="4">
        <v>3425500</v>
      </c>
      <c r="H354">
        <f t="shared" si="5"/>
        <v>8.3738556644454027E-3</v>
      </c>
    </row>
    <row r="355" spans="1:8" x14ac:dyDescent="0.3">
      <c r="A355" s="1">
        <v>42517</v>
      </c>
      <c r="B355" s="2">
        <v>28.040001</v>
      </c>
      <c r="C355" s="2">
        <v>28.93</v>
      </c>
      <c r="D355" s="2">
        <v>27.65</v>
      </c>
      <c r="E355" s="2">
        <v>28.799999</v>
      </c>
      <c r="F355" s="3">
        <v>22.481268</v>
      </c>
      <c r="G355" s="4">
        <v>7559600</v>
      </c>
      <c r="H355">
        <f t="shared" si="5"/>
        <v>-4.0155140254774208E-2</v>
      </c>
    </row>
    <row r="356" spans="1:8" x14ac:dyDescent="0.3">
      <c r="A356" s="1">
        <v>42521</v>
      </c>
      <c r="B356" s="2">
        <v>28.889999</v>
      </c>
      <c r="C356" s="2">
        <v>29.35</v>
      </c>
      <c r="D356" s="2">
        <v>28.629999000000002</v>
      </c>
      <c r="E356" s="2">
        <v>29.1</v>
      </c>
      <c r="F356" s="3">
        <v>22.715444999999999</v>
      </c>
      <c r="G356" s="4">
        <v>9935800</v>
      </c>
      <c r="H356">
        <f t="shared" si="5"/>
        <v>1.0362821757769557E-2</v>
      </c>
    </row>
    <row r="357" spans="1:8" x14ac:dyDescent="0.3">
      <c r="A357" s="1">
        <v>42522</v>
      </c>
      <c r="B357" s="2">
        <v>29.02</v>
      </c>
      <c r="C357" s="2">
        <v>29.200001</v>
      </c>
      <c r="D357" s="2">
        <v>28.450001</v>
      </c>
      <c r="E357" s="2">
        <v>28.950001</v>
      </c>
      <c r="F357" s="3">
        <v>22.598354</v>
      </c>
      <c r="G357" s="4">
        <v>3722300</v>
      </c>
      <c r="H357">
        <f t="shared" si="5"/>
        <v>-5.1679356161288877E-3</v>
      </c>
    </row>
    <row r="358" spans="1:8" x14ac:dyDescent="0.3">
      <c r="A358" s="1">
        <v>42523</v>
      </c>
      <c r="B358" s="2">
        <v>28.98</v>
      </c>
      <c r="C358" s="2">
        <v>29.32</v>
      </c>
      <c r="D358" s="2">
        <v>28.75</v>
      </c>
      <c r="E358" s="2">
        <v>28.889999</v>
      </c>
      <c r="F358" s="3">
        <v>22.551518999999999</v>
      </c>
      <c r="G358" s="4">
        <v>1968100</v>
      </c>
      <c r="H358">
        <f t="shared" si="5"/>
        <v>-2.0747586972280651E-3</v>
      </c>
    </row>
    <row r="359" spans="1:8" x14ac:dyDescent="0.3">
      <c r="A359" s="1">
        <v>42524</v>
      </c>
      <c r="B359" s="2">
        <v>28.959999</v>
      </c>
      <c r="C359" s="2">
        <v>29.049999</v>
      </c>
      <c r="D359" s="2">
        <v>28.309999000000001</v>
      </c>
      <c r="E359" s="2">
        <v>28.629999000000002</v>
      </c>
      <c r="F359" s="3">
        <v>22.348564</v>
      </c>
      <c r="G359" s="4">
        <v>2209700</v>
      </c>
      <c r="H359">
        <f t="shared" si="5"/>
        <v>-9.0403956824635992E-3</v>
      </c>
    </row>
    <row r="360" spans="1:8" x14ac:dyDescent="0.3">
      <c r="A360" s="1">
        <v>42527</v>
      </c>
      <c r="B360" s="2">
        <v>28.27</v>
      </c>
      <c r="C360" s="2">
        <v>28.6</v>
      </c>
      <c r="D360" s="2">
        <v>28.040001</v>
      </c>
      <c r="E360" s="2">
        <v>28.469999000000001</v>
      </c>
      <c r="F360" s="3">
        <v>22.514633</v>
      </c>
      <c r="G360" s="4">
        <v>1955200</v>
      </c>
      <c r="H360">
        <f t="shared" si="5"/>
        <v>-5.6042180163733855E-3</v>
      </c>
    </row>
    <row r="361" spans="1:8" x14ac:dyDescent="0.3">
      <c r="A361" s="1">
        <v>42528</v>
      </c>
      <c r="B361" s="2">
        <v>28.49</v>
      </c>
      <c r="C361" s="2">
        <v>28.790001</v>
      </c>
      <c r="D361" s="2">
        <v>28.4</v>
      </c>
      <c r="E361" s="2">
        <v>28.459999</v>
      </c>
      <c r="F361" s="3">
        <v>22.506724999999999</v>
      </c>
      <c r="G361" s="4">
        <v>1821000</v>
      </c>
      <c r="H361">
        <f t="shared" si="5"/>
        <v>-3.5130864058167309E-4</v>
      </c>
    </row>
    <row r="362" spans="1:8" x14ac:dyDescent="0.3">
      <c r="A362" s="1">
        <v>42529</v>
      </c>
      <c r="B362" s="2">
        <v>28.469999000000001</v>
      </c>
      <c r="C362" s="2">
        <v>28.620000999999998</v>
      </c>
      <c r="D362" s="2">
        <v>28.18</v>
      </c>
      <c r="E362" s="2">
        <v>28.23</v>
      </c>
      <c r="F362" s="3">
        <v>22.324840999999999</v>
      </c>
      <c r="G362" s="4">
        <v>1920400</v>
      </c>
      <c r="H362">
        <f t="shared" si="5"/>
        <v>-8.1143152592732699E-3</v>
      </c>
    </row>
    <row r="363" spans="1:8" x14ac:dyDescent="0.3">
      <c r="A363" s="1">
        <v>42530</v>
      </c>
      <c r="B363" s="2">
        <v>28.07</v>
      </c>
      <c r="C363" s="2">
        <v>28.27</v>
      </c>
      <c r="D363" s="2">
        <v>27.15</v>
      </c>
      <c r="E363" s="2">
        <v>27.27</v>
      </c>
      <c r="F363" s="3">
        <v>21.565650999999999</v>
      </c>
      <c r="G363" s="4">
        <v>3397000</v>
      </c>
      <c r="H363">
        <f t="shared" si="5"/>
        <v>-3.4598045407900839E-2</v>
      </c>
    </row>
    <row r="364" spans="1:8" x14ac:dyDescent="0.3">
      <c r="A364" s="1">
        <v>42531</v>
      </c>
      <c r="B364" s="2">
        <v>26.950001</v>
      </c>
      <c r="C364" s="2">
        <v>26.950001</v>
      </c>
      <c r="D364" s="2">
        <v>26.16</v>
      </c>
      <c r="E364" s="2">
        <v>26.530000999999999</v>
      </c>
      <c r="F364" s="3">
        <v>20.980443999999999</v>
      </c>
      <c r="G364" s="4">
        <v>4522100</v>
      </c>
      <c r="H364">
        <f t="shared" si="5"/>
        <v>-2.7510991014672137E-2</v>
      </c>
    </row>
    <row r="365" spans="1:8" x14ac:dyDescent="0.3">
      <c r="A365" s="1">
        <v>42534</v>
      </c>
      <c r="B365" s="2">
        <v>26.450001</v>
      </c>
      <c r="C365" s="2">
        <v>26.67</v>
      </c>
      <c r="D365" s="2">
        <v>26.02</v>
      </c>
      <c r="E365" s="2">
        <v>26.030000999999999</v>
      </c>
      <c r="F365" s="3">
        <v>20.585037</v>
      </c>
      <c r="G365" s="4">
        <v>2331700</v>
      </c>
      <c r="H365">
        <f t="shared" si="5"/>
        <v>-1.9026448419140935E-2</v>
      </c>
    </row>
    <row r="366" spans="1:8" x14ac:dyDescent="0.3">
      <c r="A366" s="1">
        <v>42535</v>
      </c>
      <c r="B366" s="2">
        <v>25.969999000000001</v>
      </c>
      <c r="C366" s="2">
        <v>26.040001</v>
      </c>
      <c r="D366" s="2">
        <v>25.35</v>
      </c>
      <c r="E366" s="2">
        <v>25.73</v>
      </c>
      <c r="F366" s="3">
        <v>20.347791999999998</v>
      </c>
      <c r="G366" s="4">
        <v>3149000</v>
      </c>
      <c r="H366">
        <f t="shared" si="5"/>
        <v>-1.159213113003134E-2</v>
      </c>
    </row>
    <row r="367" spans="1:8" x14ac:dyDescent="0.3">
      <c r="A367" s="1">
        <v>42536</v>
      </c>
      <c r="B367" s="2">
        <v>25.700001</v>
      </c>
      <c r="C367" s="2">
        <v>26.42</v>
      </c>
      <c r="D367" s="2">
        <v>25.610001</v>
      </c>
      <c r="E367" s="2">
        <v>26.129999000000002</v>
      </c>
      <c r="F367" s="3">
        <v>20.664116</v>
      </c>
      <c r="G367" s="4">
        <v>3626600</v>
      </c>
      <c r="H367">
        <f t="shared" si="5"/>
        <v>1.542641496868017E-2</v>
      </c>
    </row>
    <row r="368" spans="1:8" x14ac:dyDescent="0.3">
      <c r="A368" s="1">
        <v>42537</v>
      </c>
      <c r="B368" s="2">
        <v>26.059999000000001</v>
      </c>
      <c r="C368" s="2">
        <v>26.18</v>
      </c>
      <c r="D368" s="2">
        <v>25.73</v>
      </c>
      <c r="E368" s="2">
        <v>25.93</v>
      </c>
      <c r="F368" s="3">
        <v>20.505955</v>
      </c>
      <c r="G368" s="4">
        <v>2230800</v>
      </c>
      <c r="H368">
        <f t="shared" si="5"/>
        <v>-7.6834417117599306E-3</v>
      </c>
    </row>
    <row r="369" spans="1:8" x14ac:dyDescent="0.3">
      <c r="A369" s="1">
        <v>42538</v>
      </c>
      <c r="B369" s="2">
        <v>25.98</v>
      </c>
      <c r="C369" s="2">
        <v>26.6</v>
      </c>
      <c r="D369" s="2">
        <v>25.780000999999999</v>
      </c>
      <c r="E369" s="2">
        <v>26.15</v>
      </c>
      <c r="F369" s="3">
        <v>20.679935</v>
      </c>
      <c r="G369" s="4">
        <v>2594800</v>
      </c>
      <c r="H369">
        <f t="shared" si="5"/>
        <v>8.4485909603589093E-3</v>
      </c>
    </row>
    <row r="370" spans="1:8" x14ac:dyDescent="0.3">
      <c r="A370" s="1">
        <v>42541</v>
      </c>
      <c r="B370" s="2">
        <v>26.450001</v>
      </c>
      <c r="C370" s="2">
        <v>26.82</v>
      </c>
      <c r="D370" s="2">
        <v>26.35</v>
      </c>
      <c r="E370" s="2">
        <v>26.4</v>
      </c>
      <c r="F370" s="3">
        <v>20.877638000000001</v>
      </c>
      <c r="G370" s="4">
        <v>2280600</v>
      </c>
      <c r="H370">
        <f t="shared" si="5"/>
        <v>9.5148196413384883E-3</v>
      </c>
    </row>
    <row r="371" spans="1:8" x14ac:dyDescent="0.3">
      <c r="A371" s="1">
        <v>42542</v>
      </c>
      <c r="B371" s="2">
        <v>26.370000999999998</v>
      </c>
      <c r="C371" s="2">
        <v>26.450001</v>
      </c>
      <c r="D371" s="2">
        <v>25.709999</v>
      </c>
      <c r="E371" s="2">
        <v>25.84</v>
      </c>
      <c r="F371" s="3">
        <v>20.434778000000001</v>
      </c>
      <c r="G371" s="4">
        <v>1569600</v>
      </c>
      <c r="H371">
        <f t="shared" si="5"/>
        <v>-2.144033123786929E-2</v>
      </c>
    </row>
    <row r="372" spans="1:8" x14ac:dyDescent="0.3">
      <c r="A372" s="1">
        <v>42543</v>
      </c>
      <c r="B372" s="2">
        <v>25.959999</v>
      </c>
      <c r="C372" s="2">
        <v>26.280000999999999</v>
      </c>
      <c r="D372" s="2">
        <v>25.809999000000001</v>
      </c>
      <c r="E372" s="2">
        <v>26</v>
      </c>
      <c r="F372" s="3">
        <v>20.561309999999999</v>
      </c>
      <c r="G372" s="4">
        <v>1786700</v>
      </c>
      <c r="H372">
        <f t="shared" si="5"/>
        <v>6.1728591070810161E-3</v>
      </c>
    </row>
    <row r="373" spans="1:8" x14ac:dyDescent="0.3">
      <c r="A373" s="1">
        <v>42544</v>
      </c>
      <c r="B373" s="2">
        <v>26.43</v>
      </c>
      <c r="C373" s="2">
        <v>26.549999</v>
      </c>
      <c r="D373" s="2">
        <v>26.17</v>
      </c>
      <c r="E373" s="2">
        <v>26.33</v>
      </c>
      <c r="F373" s="3">
        <v>20.822282999999999</v>
      </c>
      <c r="G373" s="4">
        <v>1518500</v>
      </c>
      <c r="H373">
        <f t="shared" si="5"/>
        <v>1.2612435486735856E-2</v>
      </c>
    </row>
    <row r="374" spans="1:8" x14ac:dyDescent="0.3">
      <c r="A374" s="1">
        <v>42545</v>
      </c>
      <c r="B374" s="2">
        <v>25.280000999999999</v>
      </c>
      <c r="C374" s="2">
        <v>25.73</v>
      </c>
      <c r="D374" s="2">
        <v>25.26</v>
      </c>
      <c r="E374" s="2">
        <v>25.34</v>
      </c>
      <c r="F374" s="3">
        <v>20.039370999999999</v>
      </c>
      <c r="G374" s="4">
        <v>1843000</v>
      </c>
      <c r="H374">
        <f t="shared" si="5"/>
        <v>-3.8324798615224961E-2</v>
      </c>
    </row>
    <row r="375" spans="1:8" x14ac:dyDescent="0.3">
      <c r="A375" s="1">
        <v>42548</v>
      </c>
      <c r="B375" s="2">
        <v>25.309999000000001</v>
      </c>
      <c r="C375" s="2">
        <v>25.969999000000001</v>
      </c>
      <c r="D375" s="2">
        <v>25.18</v>
      </c>
      <c r="E375" s="2">
        <v>25.5</v>
      </c>
      <c r="F375" s="3">
        <v>20.165901000000002</v>
      </c>
      <c r="G375" s="4">
        <v>3060700</v>
      </c>
      <c r="H375">
        <f t="shared" si="5"/>
        <v>6.2942772713874846E-3</v>
      </c>
    </row>
    <row r="376" spans="1:8" x14ac:dyDescent="0.3">
      <c r="A376" s="1">
        <v>42549</v>
      </c>
      <c r="B376" s="2">
        <v>25.83</v>
      </c>
      <c r="C376" s="2">
        <v>26.18</v>
      </c>
      <c r="D376" s="2">
        <v>25.620000999999998</v>
      </c>
      <c r="E376" s="2">
        <v>26.049999</v>
      </c>
      <c r="F376" s="3">
        <v>20.600850999999999</v>
      </c>
      <c r="G376" s="4">
        <v>2880800</v>
      </c>
      <c r="H376">
        <f t="shared" si="5"/>
        <v>2.1339277647278741E-2</v>
      </c>
    </row>
    <row r="377" spans="1:8" x14ac:dyDescent="0.3">
      <c r="A377" s="1">
        <v>42550</v>
      </c>
      <c r="B377" s="2">
        <v>26.469999000000001</v>
      </c>
      <c r="C377" s="2">
        <v>26.969999000000001</v>
      </c>
      <c r="D377" s="2">
        <v>26.370000999999998</v>
      </c>
      <c r="E377" s="2">
        <v>26.41</v>
      </c>
      <c r="F377" s="3">
        <v>20.885546000000001</v>
      </c>
      <c r="G377" s="4">
        <v>2485300</v>
      </c>
      <c r="H377">
        <f t="shared" si="5"/>
        <v>1.3724996497381575E-2</v>
      </c>
    </row>
    <row r="378" spans="1:8" x14ac:dyDescent="0.3">
      <c r="A378" s="1">
        <v>42551</v>
      </c>
      <c r="B378" s="2">
        <v>26.51</v>
      </c>
      <c r="C378" s="2">
        <v>26.690000999999999</v>
      </c>
      <c r="D378" s="2">
        <v>26.02</v>
      </c>
      <c r="E378" s="2">
        <v>26.58</v>
      </c>
      <c r="F378" s="3">
        <v>21.019987</v>
      </c>
      <c r="G378" s="4">
        <v>1859200</v>
      </c>
      <c r="H378">
        <f t="shared" si="5"/>
        <v>6.4163269760584398E-3</v>
      </c>
    </row>
    <row r="379" spans="1:8" x14ac:dyDescent="0.3">
      <c r="A379" s="1">
        <v>42552</v>
      </c>
      <c r="B379" s="2">
        <v>26.879999000000002</v>
      </c>
      <c r="C379" s="2">
        <v>27.379999000000002</v>
      </c>
      <c r="D379" s="2">
        <v>26.73</v>
      </c>
      <c r="E379" s="2">
        <v>27.059999000000001</v>
      </c>
      <c r="F379" s="3">
        <v>21.39958</v>
      </c>
      <c r="G379" s="4">
        <v>2632600</v>
      </c>
      <c r="H379">
        <f t="shared" si="5"/>
        <v>1.7897532502627173E-2</v>
      </c>
    </row>
    <row r="380" spans="1:8" x14ac:dyDescent="0.3">
      <c r="A380" s="1">
        <v>42556</v>
      </c>
      <c r="B380" s="2">
        <v>27.030000999999999</v>
      </c>
      <c r="C380" s="2">
        <v>27.059999000000001</v>
      </c>
      <c r="D380" s="2">
        <v>25.959999</v>
      </c>
      <c r="E380" s="2">
        <v>26.299999</v>
      </c>
      <c r="F380" s="3">
        <v>20.798556999999999</v>
      </c>
      <c r="G380" s="4">
        <v>2141100</v>
      </c>
      <c r="H380">
        <f t="shared" si="5"/>
        <v>-2.8487684626821923E-2</v>
      </c>
    </row>
    <row r="381" spans="1:8" x14ac:dyDescent="0.3">
      <c r="A381" s="1">
        <v>42557</v>
      </c>
      <c r="B381" s="2">
        <v>26.23</v>
      </c>
      <c r="C381" s="2">
        <v>26.48</v>
      </c>
      <c r="D381" s="2">
        <v>25.73</v>
      </c>
      <c r="E381" s="2">
        <v>26.469999000000001</v>
      </c>
      <c r="F381" s="3">
        <v>20.932994999999998</v>
      </c>
      <c r="G381" s="4">
        <v>2490300</v>
      </c>
      <c r="H381">
        <f t="shared" si="5"/>
        <v>6.4430772994874663E-3</v>
      </c>
    </row>
    <row r="382" spans="1:8" x14ac:dyDescent="0.3">
      <c r="A382" s="1">
        <v>42558</v>
      </c>
      <c r="B382" s="2">
        <v>26.52</v>
      </c>
      <c r="C382" s="2">
        <v>27.030000999999999</v>
      </c>
      <c r="D382" s="2">
        <v>26.190000999999999</v>
      </c>
      <c r="E382" s="2">
        <v>26.33</v>
      </c>
      <c r="F382" s="3">
        <v>20.822282999999999</v>
      </c>
      <c r="G382" s="4">
        <v>2270700</v>
      </c>
      <c r="H382">
        <f t="shared" si="5"/>
        <v>-5.3030049521739552E-3</v>
      </c>
    </row>
    <row r="383" spans="1:8" x14ac:dyDescent="0.3">
      <c r="A383" s="1">
        <v>42559</v>
      </c>
      <c r="B383" s="2">
        <v>26.67</v>
      </c>
      <c r="C383" s="2">
        <v>27.389999</v>
      </c>
      <c r="D383" s="2">
        <v>26.66</v>
      </c>
      <c r="E383" s="2">
        <v>27.370000999999998</v>
      </c>
      <c r="F383" s="3">
        <v>21.644735000000001</v>
      </c>
      <c r="G383" s="4">
        <v>2104100</v>
      </c>
      <c r="H383">
        <f t="shared" si="5"/>
        <v>3.873858608072276E-2</v>
      </c>
    </row>
    <row r="384" spans="1:8" x14ac:dyDescent="0.3">
      <c r="A384" s="1">
        <v>42562</v>
      </c>
      <c r="B384" s="2">
        <v>28.110001</v>
      </c>
      <c r="C384" s="2">
        <v>28.790001</v>
      </c>
      <c r="D384" s="2">
        <v>28.049999</v>
      </c>
      <c r="E384" s="2">
        <v>28.450001</v>
      </c>
      <c r="F384" s="3">
        <v>22.498819000000001</v>
      </c>
      <c r="G384" s="4">
        <v>3566700</v>
      </c>
      <c r="H384">
        <f t="shared" si="5"/>
        <v>3.8700636132783468E-2</v>
      </c>
    </row>
    <row r="385" spans="1:8" x14ac:dyDescent="0.3">
      <c r="A385" s="1">
        <v>42563</v>
      </c>
      <c r="B385" s="2">
        <v>28.719999000000001</v>
      </c>
      <c r="C385" s="2">
        <v>28.969999000000001</v>
      </c>
      <c r="D385" s="2">
        <v>28.5</v>
      </c>
      <c r="E385" s="2">
        <v>28.74</v>
      </c>
      <c r="F385" s="3">
        <v>22.728156999999999</v>
      </c>
      <c r="G385" s="4">
        <v>3023300</v>
      </c>
      <c r="H385">
        <f t="shared" si="5"/>
        <v>1.0141684929154708E-2</v>
      </c>
    </row>
    <row r="386" spans="1:8" x14ac:dyDescent="0.3">
      <c r="A386" s="1">
        <v>42564</v>
      </c>
      <c r="B386" s="2">
        <v>28.84</v>
      </c>
      <c r="C386" s="2">
        <v>29.200001</v>
      </c>
      <c r="D386" s="2">
        <v>28.68</v>
      </c>
      <c r="E386" s="2">
        <v>28.85</v>
      </c>
      <c r="F386" s="3">
        <v>22.815147</v>
      </c>
      <c r="G386" s="4">
        <v>2952800</v>
      </c>
      <c r="H386">
        <f t="shared" si="5"/>
        <v>3.8201123032297435E-3</v>
      </c>
    </row>
    <row r="387" spans="1:8" x14ac:dyDescent="0.3">
      <c r="A387" s="1">
        <v>42565</v>
      </c>
      <c r="B387" s="2">
        <v>28.950001</v>
      </c>
      <c r="C387" s="2">
        <v>29.1</v>
      </c>
      <c r="D387" s="2">
        <v>28.459999</v>
      </c>
      <c r="E387" s="2">
        <v>28.620000999999998</v>
      </c>
      <c r="F387" s="3">
        <v>22.633261000000001</v>
      </c>
      <c r="G387" s="4">
        <v>1997100</v>
      </c>
      <c r="H387">
        <f t="shared" si="5"/>
        <v>-8.0041838852034659E-3</v>
      </c>
    </row>
    <row r="388" spans="1:8" x14ac:dyDescent="0.3">
      <c r="A388" s="1">
        <v>42566</v>
      </c>
      <c r="B388" s="2">
        <v>28.799999</v>
      </c>
      <c r="C388" s="2">
        <v>28.799999</v>
      </c>
      <c r="D388" s="2">
        <v>27.98</v>
      </c>
      <c r="E388" s="2">
        <v>27.99</v>
      </c>
      <c r="F388" s="3">
        <v>22.135041999999999</v>
      </c>
      <c r="G388" s="4">
        <v>2468500</v>
      </c>
      <c r="H388">
        <f t="shared" ref="H388:H451" si="6">LN(E388/E387)</f>
        <v>-2.2258505541543107E-2</v>
      </c>
    </row>
    <row r="389" spans="1:8" x14ac:dyDescent="0.3">
      <c r="A389" s="1">
        <v>42569</v>
      </c>
      <c r="B389" s="2">
        <v>28</v>
      </c>
      <c r="C389" s="2">
        <v>30.4</v>
      </c>
      <c r="D389" s="2">
        <v>27.870000999999998</v>
      </c>
      <c r="E389" s="2">
        <v>30.190000999999999</v>
      </c>
      <c r="F389" s="3">
        <v>23.874846000000002</v>
      </c>
      <c r="G389" s="4">
        <v>7792200</v>
      </c>
      <c r="H389">
        <f t="shared" si="6"/>
        <v>7.5663473314935586E-2</v>
      </c>
    </row>
    <row r="390" spans="1:8" x14ac:dyDescent="0.3">
      <c r="A390" s="1">
        <v>42570</v>
      </c>
      <c r="B390" s="2">
        <v>30.870000999999998</v>
      </c>
      <c r="C390" s="2">
        <v>31.299999</v>
      </c>
      <c r="D390" s="2">
        <v>30.01</v>
      </c>
      <c r="E390" s="2">
        <v>30.190000999999999</v>
      </c>
      <c r="F390" s="3">
        <v>23.874846000000002</v>
      </c>
      <c r="G390" s="4">
        <v>4359200</v>
      </c>
      <c r="H390">
        <f t="shared" si="6"/>
        <v>0</v>
      </c>
    </row>
    <row r="391" spans="1:8" x14ac:dyDescent="0.3">
      <c r="A391" s="1">
        <v>42571</v>
      </c>
      <c r="B391" s="2">
        <v>30.110001</v>
      </c>
      <c r="C391" s="2">
        <v>31.32</v>
      </c>
      <c r="D391" s="2">
        <v>30.040001</v>
      </c>
      <c r="E391" s="2">
        <v>31.120000999999998</v>
      </c>
      <c r="F391" s="3">
        <v>24.610309999999998</v>
      </c>
      <c r="G391" s="4">
        <v>3771100</v>
      </c>
      <c r="H391">
        <f t="shared" si="6"/>
        <v>3.0339954601568631E-2</v>
      </c>
    </row>
    <row r="392" spans="1:8" x14ac:dyDescent="0.3">
      <c r="A392" s="1">
        <v>42572</v>
      </c>
      <c r="B392" s="2">
        <v>31.15</v>
      </c>
      <c r="C392" s="2">
        <v>31.85</v>
      </c>
      <c r="D392" s="2">
        <v>30.950001</v>
      </c>
      <c r="E392" s="2">
        <v>31.01</v>
      </c>
      <c r="F392" s="3">
        <v>24.523315</v>
      </c>
      <c r="G392" s="4">
        <v>4365100</v>
      </c>
      <c r="H392">
        <f t="shared" si="6"/>
        <v>-3.5409983315087957E-3</v>
      </c>
    </row>
    <row r="393" spans="1:8" x14ac:dyDescent="0.3">
      <c r="A393" s="1">
        <v>42573</v>
      </c>
      <c r="B393" s="2">
        <v>31</v>
      </c>
      <c r="C393" s="2">
        <v>31.190000999999999</v>
      </c>
      <c r="D393" s="2">
        <v>30.65</v>
      </c>
      <c r="E393" s="2">
        <v>30.809999000000001</v>
      </c>
      <c r="F393" s="3">
        <v>24.36515</v>
      </c>
      <c r="G393" s="4">
        <v>2590400</v>
      </c>
      <c r="H393">
        <f t="shared" si="6"/>
        <v>-6.4704529607760661E-3</v>
      </c>
    </row>
    <row r="394" spans="1:8" x14ac:dyDescent="0.3">
      <c r="A394" s="1">
        <v>42576</v>
      </c>
      <c r="B394" s="2">
        <v>30.52</v>
      </c>
      <c r="C394" s="2">
        <v>30.959999</v>
      </c>
      <c r="D394" s="2">
        <v>30.049999</v>
      </c>
      <c r="E394" s="2">
        <v>30.879999000000002</v>
      </c>
      <c r="F394" s="3">
        <v>24.420511000000001</v>
      </c>
      <c r="G394" s="4">
        <v>2252200</v>
      </c>
      <c r="H394">
        <f t="shared" si="6"/>
        <v>2.2694126215735805E-3</v>
      </c>
    </row>
    <row r="395" spans="1:8" x14ac:dyDescent="0.3">
      <c r="A395" s="1">
        <v>42577</v>
      </c>
      <c r="B395" s="2">
        <v>30.82</v>
      </c>
      <c r="C395" s="2">
        <v>31.299999</v>
      </c>
      <c r="D395" s="2">
        <v>30.440000999999999</v>
      </c>
      <c r="E395" s="2">
        <v>31.25</v>
      </c>
      <c r="F395" s="3">
        <v>24.713114000000001</v>
      </c>
      <c r="G395" s="4">
        <v>2521100</v>
      </c>
      <c r="H395">
        <f t="shared" si="6"/>
        <v>1.1910683409255272E-2</v>
      </c>
    </row>
    <row r="396" spans="1:8" x14ac:dyDescent="0.3">
      <c r="A396" s="1">
        <v>42578</v>
      </c>
      <c r="B396" s="2">
        <v>31.42</v>
      </c>
      <c r="C396" s="2">
        <v>31.58</v>
      </c>
      <c r="D396" s="2">
        <v>31.1</v>
      </c>
      <c r="E396" s="2">
        <v>31.32</v>
      </c>
      <c r="F396" s="3">
        <v>24.768471000000002</v>
      </c>
      <c r="G396" s="4">
        <v>2183200</v>
      </c>
      <c r="H396">
        <f t="shared" si="6"/>
        <v>2.2374949401918671E-3</v>
      </c>
    </row>
    <row r="397" spans="1:8" x14ac:dyDescent="0.3">
      <c r="A397" s="1">
        <v>42579</v>
      </c>
      <c r="B397" s="2">
        <v>31.200001</v>
      </c>
      <c r="C397" s="2">
        <v>31.33</v>
      </c>
      <c r="D397" s="2">
        <v>30.790001</v>
      </c>
      <c r="E397" s="2">
        <v>31.17</v>
      </c>
      <c r="F397" s="3">
        <v>24.649851000000002</v>
      </c>
      <c r="G397" s="4">
        <v>1421900</v>
      </c>
      <c r="H397">
        <f t="shared" si="6"/>
        <v>-4.8007773433565654E-3</v>
      </c>
    </row>
    <row r="398" spans="1:8" x14ac:dyDescent="0.3">
      <c r="A398" s="1">
        <v>42580</v>
      </c>
      <c r="B398" s="2">
        <v>31.25</v>
      </c>
      <c r="C398" s="2">
        <v>31.25</v>
      </c>
      <c r="D398" s="2">
        <v>30.559999000000001</v>
      </c>
      <c r="E398" s="2">
        <v>30.950001</v>
      </c>
      <c r="F398" s="3">
        <v>24.475867999999998</v>
      </c>
      <c r="G398" s="4">
        <v>1597300</v>
      </c>
      <c r="H398">
        <f t="shared" si="6"/>
        <v>-7.0830623384635135E-3</v>
      </c>
    </row>
    <row r="399" spans="1:8" x14ac:dyDescent="0.3">
      <c r="A399" s="1">
        <v>42583</v>
      </c>
      <c r="B399" s="2">
        <v>30.969999000000001</v>
      </c>
      <c r="C399" s="2">
        <v>30.99</v>
      </c>
      <c r="D399" s="2">
        <v>30.18</v>
      </c>
      <c r="E399" s="2">
        <v>30.35</v>
      </c>
      <c r="F399" s="3">
        <v>24.001377000000002</v>
      </c>
      <c r="G399" s="4">
        <v>2887600</v>
      </c>
      <c r="H399">
        <f t="shared" si="6"/>
        <v>-1.9576513935275014E-2</v>
      </c>
    </row>
    <row r="400" spans="1:8" x14ac:dyDescent="0.3">
      <c r="A400" s="1">
        <v>42584</v>
      </c>
      <c r="B400" s="2">
        <v>30.559999000000001</v>
      </c>
      <c r="C400" s="2">
        <v>30.620000999999998</v>
      </c>
      <c r="D400" s="2">
        <v>29.219999000000001</v>
      </c>
      <c r="E400" s="2">
        <v>29.24</v>
      </c>
      <c r="F400" s="3">
        <v>23.123567999999999</v>
      </c>
      <c r="G400" s="4">
        <v>3420700</v>
      </c>
      <c r="H400">
        <f t="shared" si="6"/>
        <v>-3.7258882623929582E-2</v>
      </c>
    </row>
    <row r="401" spans="1:8" x14ac:dyDescent="0.3">
      <c r="A401" s="1">
        <v>42585</v>
      </c>
      <c r="B401" s="2">
        <v>29.040001</v>
      </c>
      <c r="C401" s="2">
        <v>29.83</v>
      </c>
      <c r="D401" s="2">
        <v>28.57</v>
      </c>
      <c r="E401" s="2">
        <v>29.639999</v>
      </c>
      <c r="F401" s="3">
        <v>23.439893999999999</v>
      </c>
      <c r="G401" s="4">
        <v>2360100</v>
      </c>
      <c r="H401">
        <f t="shared" si="6"/>
        <v>1.3587131808116172E-2</v>
      </c>
    </row>
    <row r="402" spans="1:8" x14ac:dyDescent="0.3">
      <c r="A402" s="1">
        <v>42586</v>
      </c>
      <c r="B402" s="2">
        <v>29.540001</v>
      </c>
      <c r="C402" s="2">
        <v>30</v>
      </c>
      <c r="D402" s="2">
        <v>29.43</v>
      </c>
      <c r="E402" s="2">
        <v>29.66</v>
      </c>
      <c r="F402" s="3">
        <v>23.455708999999999</v>
      </c>
      <c r="G402" s="4">
        <v>1206600</v>
      </c>
      <c r="H402">
        <f t="shared" si="6"/>
        <v>6.74570020092219E-4</v>
      </c>
    </row>
    <row r="403" spans="1:8" x14ac:dyDescent="0.3">
      <c r="A403" s="1">
        <v>42587</v>
      </c>
      <c r="B403" s="2">
        <v>29.889999</v>
      </c>
      <c r="C403" s="2">
        <v>30.59</v>
      </c>
      <c r="D403" s="2">
        <v>29.809999000000001</v>
      </c>
      <c r="E403" s="2">
        <v>30.040001</v>
      </c>
      <c r="F403" s="3">
        <v>23.756226000000002</v>
      </c>
      <c r="G403" s="4">
        <v>2612300</v>
      </c>
      <c r="H403">
        <f t="shared" si="6"/>
        <v>1.2730523475095434E-2</v>
      </c>
    </row>
    <row r="404" spans="1:8" x14ac:dyDescent="0.3">
      <c r="A404" s="1">
        <v>42590</v>
      </c>
      <c r="B404" s="2">
        <v>30.139999</v>
      </c>
      <c r="C404" s="2">
        <v>30.389999</v>
      </c>
      <c r="D404" s="2">
        <v>29.639999</v>
      </c>
      <c r="E404" s="2">
        <v>29.790001</v>
      </c>
      <c r="F404" s="3">
        <v>23.558520999999999</v>
      </c>
      <c r="G404" s="4">
        <v>2044100</v>
      </c>
      <c r="H404">
        <f t="shared" si="6"/>
        <v>-8.3570598913796697E-3</v>
      </c>
    </row>
    <row r="405" spans="1:8" x14ac:dyDescent="0.3">
      <c r="A405" s="1">
        <v>42591</v>
      </c>
      <c r="B405" s="2">
        <v>29.76</v>
      </c>
      <c r="C405" s="2">
        <v>30.219999000000001</v>
      </c>
      <c r="D405" s="2">
        <v>29.5</v>
      </c>
      <c r="E405" s="2">
        <v>29.629999000000002</v>
      </c>
      <c r="F405" s="3">
        <v>23.431984</v>
      </c>
      <c r="G405" s="4">
        <v>2247600</v>
      </c>
      <c r="H405">
        <f t="shared" si="6"/>
        <v>-5.3854724576065929E-3</v>
      </c>
    </row>
    <row r="406" spans="1:8" x14ac:dyDescent="0.3">
      <c r="A406" s="1">
        <v>42592</v>
      </c>
      <c r="B406" s="2">
        <v>29.6</v>
      </c>
      <c r="C406" s="2">
        <v>30.23</v>
      </c>
      <c r="D406" s="2">
        <v>29.6</v>
      </c>
      <c r="E406" s="2">
        <v>30.15</v>
      </c>
      <c r="F406" s="3">
        <v>23.843208000000001</v>
      </c>
      <c r="G406" s="4">
        <v>1750300</v>
      </c>
      <c r="H406">
        <f t="shared" si="6"/>
        <v>1.7397595337299083E-2</v>
      </c>
    </row>
    <row r="407" spans="1:8" x14ac:dyDescent="0.3">
      <c r="A407" s="1">
        <v>42593</v>
      </c>
      <c r="B407" s="2">
        <v>30.530000999999999</v>
      </c>
      <c r="C407" s="2">
        <v>31.17</v>
      </c>
      <c r="D407" s="2">
        <v>30.43</v>
      </c>
      <c r="E407" s="2">
        <v>31.110001</v>
      </c>
      <c r="F407" s="3">
        <v>24.602399999999999</v>
      </c>
      <c r="G407" s="4">
        <v>2477800</v>
      </c>
      <c r="H407">
        <f t="shared" si="6"/>
        <v>3.134441988035587E-2</v>
      </c>
    </row>
    <row r="408" spans="1:8" x14ac:dyDescent="0.3">
      <c r="A408" s="1">
        <v>42594</v>
      </c>
      <c r="B408" s="2">
        <v>31</v>
      </c>
      <c r="C408" s="2">
        <v>31.73</v>
      </c>
      <c r="D408" s="2">
        <v>30.82</v>
      </c>
      <c r="E408" s="2">
        <v>31.35</v>
      </c>
      <c r="F408" s="3">
        <v>24.792197999999999</v>
      </c>
      <c r="G408" s="4">
        <v>2146000</v>
      </c>
      <c r="H408">
        <f t="shared" si="6"/>
        <v>7.6849240253794235E-3</v>
      </c>
    </row>
    <row r="409" spans="1:8" x14ac:dyDescent="0.3">
      <c r="A409" s="1">
        <v>42597</v>
      </c>
      <c r="B409" s="2">
        <v>31.309999000000001</v>
      </c>
      <c r="C409" s="2">
        <v>32.080002</v>
      </c>
      <c r="D409" s="2">
        <v>31.309999000000001</v>
      </c>
      <c r="E409" s="2">
        <v>31.73</v>
      </c>
      <c r="F409" s="3">
        <v>25.092707000000001</v>
      </c>
      <c r="G409" s="4">
        <v>1430100</v>
      </c>
      <c r="H409">
        <f t="shared" si="6"/>
        <v>1.2048338516174574E-2</v>
      </c>
    </row>
    <row r="410" spans="1:8" x14ac:dyDescent="0.3">
      <c r="A410" s="1">
        <v>42598</v>
      </c>
      <c r="B410" s="2">
        <v>31.66</v>
      </c>
      <c r="C410" s="2">
        <v>31.950001</v>
      </c>
      <c r="D410" s="2">
        <v>31.16</v>
      </c>
      <c r="E410" s="2">
        <v>31.17</v>
      </c>
      <c r="F410" s="3">
        <v>24.649851000000002</v>
      </c>
      <c r="G410" s="4">
        <v>1586900</v>
      </c>
      <c r="H410">
        <f t="shared" si="6"/>
        <v>-1.7806511815858475E-2</v>
      </c>
    </row>
    <row r="411" spans="1:8" x14ac:dyDescent="0.3">
      <c r="A411" s="1">
        <v>42599</v>
      </c>
      <c r="B411" s="2">
        <v>30.870000999999998</v>
      </c>
      <c r="C411" s="2">
        <v>30.940000999999999</v>
      </c>
      <c r="D411" s="2">
        <v>30.5</v>
      </c>
      <c r="E411" s="2">
        <v>30.82</v>
      </c>
      <c r="F411" s="3">
        <v>24.373062000000001</v>
      </c>
      <c r="G411" s="4">
        <v>1762400</v>
      </c>
      <c r="H411">
        <f t="shared" si="6"/>
        <v>-1.1292263887276057E-2</v>
      </c>
    </row>
    <row r="412" spans="1:8" x14ac:dyDescent="0.3">
      <c r="A412" s="1">
        <v>42600</v>
      </c>
      <c r="B412" s="2">
        <v>30.93</v>
      </c>
      <c r="C412" s="2">
        <v>31.190000999999999</v>
      </c>
      <c r="D412" s="2">
        <v>30.57</v>
      </c>
      <c r="E412" s="2">
        <v>31.17</v>
      </c>
      <c r="F412" s="3">
        <v>24.649851000000002</v>
      </c>
      <c r="G412" s="4">
        <v>1580100</v>
      </c>
      <c r="H412">
        <f t="shared" si="6"/>
        <v>1.1292263887275967E-2</v>
      </c>
    </row>
    <row r="413" spans="1:8" x14ac:dyDescent="0.3">
      <c r="A413" s="1">
        <v>42601</v>
      </c>
      <c r="B413" s="2">
        <v>31.059999000000001</v>
      </c>
      <c r="C413" s="2">
        <v>31.92</v>
      </c>
      <c r="D413" s="2">
        <v>30.889999</v>
      </c>
      <c r="E413" s="2">
        <v>31.719999000000001</v>
      </c>
      <c r="F413" s="3">
        <v>25.084799</v>
      </c>
      <c r="G413" s="4">
        <v>2164800</v>
      </c>
      <c r="H413">
        <f t="shared" si="6"/>
        <v>1.7491271461549766E-2</v>
      </c>
    </row>
    <row r="414" spans="1:8" x14ac:dyDescent="0.3">
      <c r="A414" s="1">
        <v>42604</v>
      </c>
      <c r="B414" s="2">
        <v>32</v>
      </c>
      <c r="C414" s="2">
        <v>32.099997999999999</v>
      </c>
      <c r="D414" s="2">
        <v>31.26</v>
      </c>
      <c r="E414" s="2">
        <v>31.459999</v>
      </c>
      <c r="F414" s="3">
        <v>24.879187000000002</v>
      </c>
      <c r="G414" s="4">
        <v>1671900</v>
      </c>
      <c r="H414">
        <f t="shared" si="6"/>
        <v>-8.2304993970597155E-3</v>
      </c>
    </row>
    <row r="415" spans="1:8" x14ac:dyDescent="0.3">
      <c r="A415" s="1">
        <v>42605</v>
      </c>
      <c r="B415" s="2">
        <v>32.029998999999997</v>
      </c>
      <c r="C415" s="2">
        <v>32.669998</v>
      </c>
      <c r="D415" s="2">
        <v>31.83</v>
      </c>
      <c r="E415" s="2">
        <v>32.090000000000003</v>
      </c>
      <c r="F415" s="3">
        <v>25.377405</v>
      </c>
      <c r="G415" s="4">
        <v>2840300</v>
      </c>
      <c r="H415">
        <f t="shared" si="6"/>
        <v>1.9827589278029776E-2</v>
      </c>
    </row>
    <row r="416" spans="1:8" x14ac:dyDescent="0.3">
      <c r="A416" s="1">
        <v>42606</v>
      </c>
      <c r="B416" s="2">
        <v>32.130001</v>
      </c>
      <c r="C416" s="2">
        <v>32.409999999999997</v>
      </c>
      <c r="D416" s="2">
        <v>31.620000999999998</v>
      </c>
      <c r="E416" s="2">
        <v>31.709999</v>
      </c>
      <c r="F416" s="3">
        <v>25.076891</v>
      </c>
      <c r="G416" s="4">
        <v>2715400</v>
      </c>
      <c r="H416">
        <f t="shared" si="6"/>
        <v>-1.1912398107303272E-2</v>
      </c>
    </row>
    <row r="417" spans="1:8" x14ac:dyDescent="0.3">
      <c r="A417" s="1">
        <v>42607</v>
      </c>
      <c r="B417" s="2">
        <v>31.67</v>
      </c>
      <c r="C417" s="2">
        <v>32.25</v>
      </c>
      <c r="D417" s="2">
        <v>31.280000999999999</v>
      </c>
      <c r="E417" s="2">
        <v>32.159999999999997</v>
      </c>
      <c r="F417" s="3">
        <v>25.432758</v>
      </c>
      <c r="G417" s="4">
        <v>6167300</v>
      </c>
      <c r="H417">
        <f t="shared" si="6"/>
        <v>1.4091387296303153E-2</v>
      </c>
    </row>
    <row r="418" spans="1:8" x14ac:dyDescent="0.3">
      <c r="A418" s="1">
        <v>42608</v>
      </c>
      <c r="B418" s="2">
        <v>30.219999000000001</v>
      </c>
      <c r="C418" s="2">
        <v>30.51</v>
      </c>
      <c r="D418" s="2">
        <v>28.690000999999999</v>
      </c>
      <c r="E418" s="2">
        <v>28.74</v>
      </c>
      <c r="F418" s="3">
        <v>22.728156999999999</v>
      </c>
      <c r="G418" s="4">
        <v>14493400</v>
      </c>
      <c r="H418">
        <f t="shared" si="6"/>
        <v>-0.11243356365988676</v>
      </c>
    </row>
    <row r="419" spans="1:8" x14ac:dyDescent="0.3">
      <c r="A419" s="1">
        <v>42611</v>
      </c>
      <c r="B419" s="2">
        <v>28.75</v>
      </c>
      <c r="C419" s="2">
        <v>28.969999000000001</v>
      </c>
      <c r="D419" s="2">
        <v>28.34</v>
      </c>
      <c r="E419" s="2">
        <v>28.969999000000001</v>
      </c>
      <c r="F419" s="3">
        <v>22.910043999999999</v>
      </c>
      <c r="G419" s="4">
        <v>4405600</v>
      </c>
      <c r="H419">
        <f t="shared" si="6"/>
        <v>7.9708966119122881E-3</v>
      </c>
    </row>
    <row r="420" spans="1:8" x14ac:dyDescent="0.3">
      <c r="A420" s="1">
        <v>42612</v>
      </c>
      <c r="B420" s="2">
        <v>28.889999</v>
      </c>
      <c r="C420" s="2">
        <v>28.959999</v>
      </c>
      <c r="D420" s="2">
        <v>28.27</v>
      </c>
      <c r="E420" s="2">
        <v>28.49</v>
      </c>
      <c r="F420" s="3">
        <v>22.530453000000001</v>
      </c>
      <c r="G420" s="4">
        <v>2859100</v>
      </c>
      <c r="H420">
        <f t="shared" si="6"/>
        <v>-1.6707628752974206E-2</v>
      </c>
    </row>
    <row r="421" spans="1:8" x14ac:dyDescent="0.3">
      <c r="A421" s="1">
        <v>42613</v>
      </c>
      <c r="B421" s="2">
        <v>28.48</v>
      </c>
      <c r="C421" s="2">
        <v>28.950001</v>
      </c>
      <c r="D421" s="2">
        <v>28.309999000000001</v>
      </c>
      <c r="E421" s="2">
        <v>28.389999</v>
      </c>
      <c r="F421" s="3">
        <v>22.451367999999999</v>
      </c>
      <c r="G421" s="4">
        <v>2828000</v>
      </c>
      <c r="H421">
        <f t="shared" si="6"/>
        <v>-3.5162132486080467E-3</v>
      </c>
    </row>
    <row r="422" spans="1:8" x14ac:dyDescent="0.3">
      <c r="A422" s="1">
        <v>42614</v>
      </c>
      <c r="B422" s="2">
        <v>28.469999000000001</v>
      </c>
      <c r="C422" s="2">
        <v>28.58</v>
      </c>
      <c r="D422" s="2">
        <v>27.969999000000001</v>
      </c>
      <c r="E422" s="2">
        <v>28.030000999999999</v>
      </c>
      <c r="F422" s="3">
        <v>22.166674</v>
      </c>
      <c r="G422" s="4">
        <v>2094800</v>
      </c>
      <c r="H422">
        <f t="shared" si="6"/>
        <v>-1.2761534408451321E-2</v>
      </c>
    </row>
    <row r="423" spans="1:8" x14ac:dyDescent="0.3">
      <c r="A423" s="1">
        <v>42615</v>
      </c>
      <c r="B423" s="2">
        <v>28.209999</v>
      </c>
      <c r="C423" s="2">
        <v>28.48</v>
      </c>
      <c r="D423" s="2">
        <v>28.040001</v>
      </c>
      <c r="E423" s="2">
        <v>28.389999</v>
      </c>
      <c r="F423" s="3">
        <v>22.451367999999999</v>
      </c>
      <c r="G423" s="4">
        <v>1690100</v>
      </c>
      <c r="H423">
        <f t="shared" si="6"/>
        <v>1.2761534408451349E-2</v>
      </c>
    </row>
    <row r="424" spans="1:8" x14ac:dyDescent="0.3">
      <c r="A424" s="1">
        <v>42619</v>
      </c>
      <c r="B424" s="2">
        <v>28.379999000000002</v>
      </c>
      <c r="C424" s="2">
        <v>28.67</v>
      </c>
      <c r="D424" s="2">
        <v>28.25</v>
      </c>
      <c r="E424" s="2">
        <v>28.370000999999998</v>
      </c>
      <c r="F424" s="3">
        <v>22.435552999999999</v>
      </c>
      <c r="G424" s="4">
        <v>1944100</v>
      </c>
      <c r="H424">
        <f t="shared" si="6"/>
        <v>-7.0465119194760271E-4</v>
      </c>
    </row>
    <row r="425" spans="1:8" x14ac:dyDescent="0.3">
      <c r="A425" s="1">
        <v>42620</v>
      </c>
      <c r="B425" s="2">
        <v>28.030000999999999</v>
      </c>
      <c r="C425" s="2">
        <v>28.23</v>
      </c>
      <c r="D425" s="2">
        <v>27.889999</v>
      </c>
      <c r="E425" s="2">
        <v>28.129999000000002</v>
      </c>
      <c r="F425" s="3">
        <v>22.539719000000002</v>
      </c>
      <c r="G425" s="4">
        <v>1516100</v>
      </c>
      <c r="H425">
        <f t="shared" si="6"/>
        <v>-8.4956971167320667E-3</v>
      </c>
    </row>
    <row r="426" spans="1:8" x14ac:dyDescent="0.3">
      <c r="A426" s="1">
        <v>42621</v>
      </c>
      <c r="B426" s="2">
        <v>27.969999000000001</v>
      </c>
      <c r="C426" s="2">
        <v>28.110001</v>
      </c>
      <c r="D426" s="2">
        <v>27.75</v>
      </c>
      <c r="E426" s="2">
        <v>27.780000999999999</v>
      </c>
      <c r="F426" s="3">
        <v>22.259274000000001</v>
      </c>
      <c r="G426" s="4">
        <v>1728800</v>
      </c>
      <c r="H426">
        <f t="shared" si="6"/>
        <v>-1.2520213629211947E-2</v>
      </c>
    </row>
    <row r="427" spans="1:8" x14ac:dyDescent="0.3">
      <c r="A427" s="1">
        <v>42622</v>
      </c>
      <c r="B427" s="2">
        <v>27.940000999999999</v>
      </c>
      <c r="C427" s="2">
        <v>28.030000999999999</v>
      </c>
      <c r="D427" s="2">
        <v>27.17</v>
      </c>
      <c r="E427" s="2">
        <v>27.18</v>
      </c>
      <c r="F427" s="3">
        <v>21.778513</v>
      </c>
      <c r="G427" s="4">
        <v>2485400</v>
      </c>
      <c r="H427">
        <f t="shared" si="6"/>
        <v>-2.1834964600319601E-2</v>
      </c>
    </row>
    <row r="428" spans="1:8" x14ac:dyDescent="0.3">
      <c r="A428" s="1">
        <v>42625</v>
      </c>
      <c r="B428" s="2">
        <v>27.379999000000002</v>
      </c>
      <c r="C428" s="2">
        <v>27.379999000000002</v>
      </c>
      <c r="D428" s="2">
        <v>26.85</v>
      </c>
      <c r="E428" s="2">
        <v>27.040001</v>
      </c>
      <c r="F428" s="3">
        <v>21.666332000000001</v>
      </c>
      <c r="G428" s="4">
        <v>3607000</v>
      </c>
      <c r="H428">
        <f t="shared" si="6"/>
        <v>-5.1641205659864325E-3</v>
      </c>
    </row>
    <row r="429" spans="1:8" x14ac:dyDescent="0.3">
      <c r="A429" s="1">
        <v>42626</v>
      </c>
      <c r="B429" s="2">
        <v>26.950001</v>
      </c>
      <c r="C429" s="2">
        <v>27.389999</v>
      </c>
      <c r="D429" s="2">
        <v>26.809999000000001</v>
      </c>
      <c r="E429" s="2">
        <v>26.99</v>
      </c>
      <c r="F429" s="3">
        <v>21.626270000000002</v>
      </c>
      <c r="G429" s="4">
        <v>2825400</v>
      </c>
      <c r="H429">
        <f t="shared" si="6"/>
        <v>-1.8508611270980065E-3</v>
      </c>
    </row>
    <row r="430" spans="1:8" x14ac:dyDescent="0.3">
      <c r="A430" s="1">
        <v>42627</v>
      </c>
      <c r="B430" s="2">
        <v>27.629999000000002</v>
      </c>
      <c r="C430" s="2">
        <v>27.629999000000002</v>
      </c>
      <c r="D430" s="2">
        <v>26.940000999999999</v>
      </c>
      <c r="E430" s="2">
        <v>27.030000999999999</v>
      </c>
      <c r="F430" s="3">
        <v>21.658321000000001</v>
      </c>
      <c r="G430" s="4">
        <v>1854300</v>
      </c>
      <c r="H430">
        <f t="shared" si="6"/>
        <v>1.480970254372679E-3</v>
      </c>
    </row>
    <row r="431" spans="1:8" x14ac:dyDescent="0.3">
      <c r="A431" s="1">
        <v>42628</v>
      </c>
      <c r="B431" s="2">
        <v>26.879999000000002</v>
      </c>
      <c r="C431" s="2">
        <v>27.27</v>
      </c>
      <c r="D431" s="2">
        <v>26.690000999999999</v>
      </c>
      <c r="E431" s="2">
        <v>27.25</v>
      </c>
      <c r="F431" s="3">
        <v>21.834602</v>
      </c>
      <c r="G431" s="4">
        <v>2210500</v>
      </c>
      <c r="H431">
        <f t="shared" si="6"/>
        <v>8.106123824967058E-3</v>
      </c>
    </row>
    <row r="432" spans="1:8" x14ac:dyDescent="0.3">
      <c r="A432" s="1">
        <v>42629</v>
      </c>
      <c r="B432" s="2">
        <v>27.209999</v>
      </c>
      <c r="C432" s="2">
        <v>27.26</v>
      </c>
      <c r="D432" s="2">
        <v>26.9</v>
      </c>
      <c r="E432" s="2">
        <v>27.09</v>
      </c>
      <c r="F432" s="3">
        <v>21.706399999999999</v>
      </c>
      <c r="G432" s="4">
        <v>1922000</v>
      </c>
      <c r="H432">
        <f t="shared" si="6"/>
        <v>-5.8888650122493605E-3</v>
      </c>
    </row>
    <row r="433" spans="1:8" x14ac:dyDescent="0.3">
      <c r="A433" s="1">
        <v>42632</v>
      </c>
      <c r="B433" s="2">
        <v>27.389999</v>
      </c>
      <c r="C433" s="2">
        <v>28.18</v>
      </c>
      <c r="D433" s="2">
        <v>27.389999</v>
      </c>
      <c r="E433" s="2">
        <v>27.9</v>
      </c>
      <c r="F433" s="3">
        <v>22.355425</v>
      </c>
      <c r="G433" s="4">
        <v>3349800</v>
      </c>
      <c r="H433">
        <f t="shared" si="6"/>
        <v>2.9462032730316067E-2</v>
      </c>
    </row>
    <row r="434" spans="1:8" x14ac:dyDescent="0.3">
      <c r="A434" s="1">
        <v>42633</v>
      </c>
      <c r="B434" s="2">
        <v>28.08</v>
      </c>
      <c r="C434" s="2">
        <v>28.18</v>
      </c>
      <c r="D434" s="2">
        <v>27.629999000000002</v>
      </c>
      <c r="E434" s="2">
        <v>27.719999000000001</v>
      </c>
      <c r="F434" s="3">
        <v>22.211199000000001</v>
      </c>
      <c r="G434" s="4">
        <v>1865100</v>
      </c>
      <c r="H434">
        <f t="shared" si="6"/>
        <v>-6.4725505806540965E-3</v>
      </c>
    </row>
    <row r="435" spans="1:8" x14ac:dyDescent="0.3">
      <c r="A435" s="1">
        <v>42634</v>
      </c>
      <c r="B435" s="2">
        <v>27.790001</v>
      </c>
      <c r="C435" s="2">
        <v>28.16</v>
      </c>
      <c r="D435" s="2">
        <v>27.709999</v>
      </c>
      <c r="E435" s="2">
        <v>28.129999000000002</v>
      </c>
      <c r="F435" s="3">
        <v>22.539719000000002</v>
      </c>
      <c r="G435" s="4">
        <v>1663700</v>
      </c>
      <c r="H435">
        <f t="shared" si="6"/>
        <v>1.4682448705863421E-2</v>
      </c>
    </row>
    <row r="436" spans="1:8" x14ac:dyDescent="0.3">
      <c r="A436" s="1">
        <v>42635</v>
      </c>
      <c r="B436" s="2">
        <v>28.290001</v>
      </c>
      <c r="C436" s="2">
        <v>28.450001</v>
      </c>
      <c r="D436" s="2">
        <v>27.889999</v>
      </c>
      <c r="E436" s="2">
        <v>28.27</v>
      </c>
      <c r="F436" s="3">
        <v>22.651899</v>
      </c>
      <c r="G436" s="4">
        <v>1790300</v>
      </c>
      <c r="H436">
        <f t="shared" si="6"/>
        <v>4.9645847529697258E-3</v>
      </c>
    </row>
    <row r="437" spans="1:8" x14ac:dyDescent="0.3">
      <c r="A437" s="1">
        <v>42636</v>
      </c>
      <c r="B437" s="2">
        <v>28.24</v>
      </c>
      <c r="C437" s="2">
        <v>28.58</v>
      </c>
      <c r="D437" s="2">
        <v>28.190000999999999</v>
      </c>
      <c r="E437" s="2">
        <v>28.190000999999999</v>
      </c>
      <c r="F437" s="3">
        <v>22.587795</v>
      </c>
      <c r="G437" s="4">
        <v>1370200</v>
      </c>
      <c r="H437">
        <f t="shared" si="6"/>
        <v>-2.833831105906231E-3</v>
      </c>
    </row>
    <row r="438" spans="1:8" x14ac:dyDescent="0.3">
      <c r="A438" s="1">
        <v>42639</v>
      </c>
      <c r="B438" s="2">
        <v>28.110001</v>
      </c>
      <c r="C438" s="2">
        <v>28.200001</v>
      </c>
      <c r="D438" s="2">
        <v>27.639999</v>
      </c>
      <c r="E438" s="2">
        <v>27.639999</v>
      </c>
      <c r="F438" s="3">
        <v>22.147096999999999</v>
      </c>
      <c r="G438" s="4">
        <v>1074900</v>
      </c>
      <c r="H438">
        <f t="shared" si="6"/>
        <v>-1.9703377879574345E-2</v>
      </c>
    </row>
    <row r="439" spans="1:8" x14ac:dyDescent="0.3">
      <c r="A439" s="1">
        <v>42640</v>
      </c>
      <c r="B439" s="2">
        <v>27.65</v>
      </c>
      <c r="C439" s="2">
        <v>27.76</v>
      </c>
      <c r="D439" s="2">
        <v>27.27</v>
      </c>
      <c r="E439" s="2">
        <v>27.43</v>
      </c>
      <c r="F439" s="3">
        <v>21.978829999999999</v>
      </c>
      <c r="G439" s="4">
        <v>1443000</v>
      </c>
      <c r="H439">
        <f t="shared" si="6"/>
        <v>-7.6266577705065754E-3</v>
      </c>
    </row>
    <row r="440" spans="1:8" x14ac:dyDescent="0.3">
      <c r="A440" s="1">
        <v>42641</v>
      </c>
      <c r="B440" s="2">
        <v>27.450001</v>
      </c>
      <c r="C440" s="2">
        <v>27.860001</v>
      </c>
      <c r="D440" s="2">
        <v>27.200001</v>
      </c>
      <c r="E440" s="2">
        <v>27.49</v>
      </c>
      <c r="F440" s="3">
        <v>22.026907000000001</v>
      </c>
      <c r="G440" s="4">
        <v>1166400</v>
      </c>
      <c r="H440">
        <f t="shared" si="6"/>
        <v>2.1849972276423669E-3</v>
      </c>
    </row>
    <row r="441" spans="1:8" x14ac:dyDescent="0.3">
      <c r="A441" s="1">
        <v>42642</v>
      </c>
      <c r="B441" s="2">
        <v>27.5</v>
      </c>
      <c r="C441" s="2">
        <v>27.66</v>
      </c>
      <c r="D441" s="2">
        <v>27.129999000000002</v>
      </c>
      <c r="E441" s="2">
        <v>27.139999</v>
      </c>
      <c r="F441" s="3">
        <v>21.746462000000001</v>
      </c>
      <c r="G441" s="4">
        <v>1758100</v>
      </c>
      <c r="H441">
        <f t="shared" si="6"/>
        <v>-1.2813684616415742E-2</v>
      </c>
    </row>
    <row r="442" spans="1:8" x14ac:dyDescent="0.3">
      <c r="A442" s="1">
        <v>42643</v>
      </c>
      <c r="B442" s="2">
        <v>27.379999000000002</v>
      </c>
      <c r="C442" s="2">
        <v>27.700001</v>
      </c>
      <c r="D442" s="2">
        <v>27.25</v>
      </c>
      <c r="E442" s="2">
        <v>27.59</v>
      </c>
      <c r="F442" s="3">
        <v>22.107035</v>
      </c>
      <c r="G442" s="4">
        <v>1788800</v>
      </c>
      <c r="H442">
        <f t="shared" si="6"/>
        <v>1.6444770668456048E-2</v>
      </c>
    </row>
    <row r="443" spans="1:8" x14ac:dyDescent="0.3">
      <c r="A443" s="1">
        <v>42646</v>
      </c>
      <c r="B443" s="2">
        <v>27.59</v>
      </c>
      <c r="C443" s="2">
        <v>27.860001</v>
      </c>
      <c r="D443" s="2">
        <v>27.450001</v>
      </c>
      <c r="E443" s="2">
        <v>27.780000999999999</v>
      </c>
      <c r="F443" s="3">
        <v>22.259274000000001</v>
      </c>
      <c r="G443" s="4">
        <v>1625400</v>
      </c>
      <c r="H443">
        <f t="shared" si="6"/>
        <v>6.8629850941225017E-3</v>
      </c>
    </row>
    <row r="444" spans="1:8" x14ac:dyDescent="0.3">
      <c r="A444" s="1">
        <v>42647</v>
      </c>
      <c r="B444" s="2">
        <v>27.780000999999999</v>
      </c>
      <c r="C444" s="2">
        <v>27.84</v>
      </c>
      <c r="D444" s="2">
        <v>27.030000999999999</v>
      </c>
      <c r="E444" s="2">
        <v>27.129999000000002</v>
      </c>
      <c r="F444" s="3">
        <v>21.738448999999999</v>
      </c>
      <c r="G444" s="4">
        <v>2345700</v>
      </c>
      <c r="H444">
        <f t="shared" si="6"/>
        <v>-2.367628351204256E-2</v>
      </c>
    </row>
    <row r="445" spans="1:8" x14ac:dyDescent="0.3">
      <c r="A445" s="1">
        <v>42648</v>
      </c>
      <c r="B445" s="2">
        <v>27.27</v>
      </c>
      <c r="C445" s="2">
        <v>27.48</v>
      </c>
      <c r="D445" s="2">
        <v>26.950001</v>
      </c>
      <c r="E445" s="2">
        <v>27.200001</v>
      </c>
      <c r="F445" s="3">
        <v>21.794540000000001</v>
      </c>
      <c r="G445" s="4">
        <v>1941100</v>
      </c>
      <c r="H445">
        <f t="shared" si="6"/>
        <v>2.5769202553822101E-3</v>
      </c>
    </row>
    <row r="446" spans="1:8" x14ac:dyDescent="0.3">
      <c r="A446" s="1">
        <v>42649</v>
      </c>
      <c r="B446" s="2">
        <v>27.08</v>
      </c>
      <c r="C446" s="2">
        <v>27.1</v>
      </c>
      <c r="D446" s="2">
        <v>26.299999</v>
      </c>
      <c r="E446" s="2">
        <v>26.68</v>
      </c>
      <c r="F446" s="3">
        <v>21.377877999999999</v>
      </c>
      <c r="G446" s="4">
        <v>3747500</v>
      </c>
      <c r="H446">
        <f t="shared" si="6"/>
        <v>-1.9302789019233869E-2</v>
      </c>
    </row>
    <row r="447" spans="1:8" x14ac:dyDescent="0.3">
      <c r="A447" s="1">
        <v>42650</v>
      </c>
      <c r="B447" s="2">
        <v>26.799999</v>
      </c>
      <c r="C447" s="2">
        <v>26.93</v>
      </c>
      <c r="D447" s="2">
        <v>26.469999000000001</v>
      </c>
      <c r="E447" s="2">
        <v>26.68</v>
      </c>
      <c r="F447" s="3">
        <v>21.377877999999999</v>
      </c>
      <c r="G447" s="4">
        <v>2145400</v>
      </c>
      <c r="H447">
        <f t="shared" si="6"/>
        <v>0</v>
      </c>
    </row>
    <row r="448" spans="1:8" x14ac:dyDescent="0.3">
      <c r="A448" s="1">
        <v>42653</v>
      </c>
      <c r="B448" s="2">
        <v>26.84</v>
      </c>
      <c r="C448" s="2">
        <v>27.139999</v>
      </c>
      <c r="D448" s="2">
        <v>26.65</v>
      </c>
      <c r="E448" s="2">
        <v>26.83</v>
      </c>
      <c r="F448" s="3">
        <v>21.498069999999998</v>
      </c>
      <c r="G448" s="4">
        <v>1599600</v>
      </c>
      <c r="H448">
        <f t="shared" si="6"/>
        <v>5.606443390109796E-3</v>
      </c>
    </row>
    <row r="449" spans="1:8" x14ac:dyDescent="0.3">
      <c r="A449" s="1">
        <v>42654</v>
      </c>
      <c r="B449" s="2">
        <v>26.82</v>
      </c>
      <c r="C449" s="2">
        <v>26.860001</v>
      </c>
      <c r="D449" s="2">
        <v>26.01</v>
      </c>
      <c r="E449" s="2">
        <v>26.049999</v>
      </c>
      <c r="F449" s="3">
        <v>20.873075</v>
      </c>
      <c r="G449" s="4">
        <v>2142200</v>
      </c>
      <c r="H449">
        <f t="shared" si="6"/>
        <v>-2.9502934625873427E-2</v>
      </c>
    </row>
    <row r="450" spans="1:8" x14ac:dyDescent="0.3">
      <c r="A450" s="1">
        <v>42655</v>
      </c>
      <c r="B450" s="2">
        <v>26.139999</v>
      </c>
      <c r="C450" s="2">
        <v>26.459999</v>
      </c>
      <c r="D450" s="2">
        <v>26</v>
      </c>
      <c r="E450" s="2">
        <v>26.120000999999998</v>
      </c>
      <c r="F450" s="3">
        <v>20.929167</v>
      </c>
      <c r="G450" s="4">
        <v>2446800</v>
      </c>
      <c r="H450">
        <f t="shared" si="6"/>
        <v>2.6836128814094677E-3</v>
      </c>
    </row>
    <row r="451" spans="1:8" x14ac:dyDescent="0.3">
      <c r="A451" s="1">
        <v>42656</v>
      </c>
      <c r="B451" s="2">
        <v>26</v>
      </c>
      <c r="C451" s="2">
        <v>26.139999</v>
      </c>
      <c r="D451" s="2">
        <v>25.35</v>
      </c>
      <c r="E451" s="2">
        <v>25.469999000000001</v>
      </c>
      <c r="F451" s="3">
        <v>20.408339999999999</v>
      </c>
      <c r="G451" s="4">
        <v>2680300</v>
      </c>
      <c r="H451">
        <f t="shared" si="6"/>
        <v>-2.5200092963580483E-2</v>
      </c>
    </row>
    <row r="452" spans="1:8" x14ac:dyDescent="0.3">
      <c r="A452" s="1">
        <v>42657</v>
      </c>
      <c r="B452" s="2">
        <v>25.58</v>
      </c>
      <c r="C452" s="2">
        <v>25.690000999999999</v>
      </c>
      <c r="D452" s="2">
        <v>25.110001</v>
      </c>
      <c r="E452" s="2">
        <v>25.379999000000002</v>
      </c>
      <c r="F452" s="3">
        <v>20.336227000000001</v>
      </c>
      <c r="G452" s="4">
        <v>3136100</v>
      </c>
      <c r="H452">
        <f t="shared" ref="H452:H515" si="7">LN(E452/E451)</f>
        <v>-3.5398268443504969E-3</v>
      </c>
    </row>
    <row r="453" spans="1:8" x14ac:dyDescent="0.3">
      <c r="A453" s="1">
        <v>42660</v>
      </c>
      <c r="B453" s="2">
        <v>25.32</v>
      </c>
      <c r="C453" s="2">
        <v>25.57</v>
      </c>
      <c r="D453" s="2">
        <v>24.65</v>
      </c>
      <c r="E453" s="2">
        <v>24.700001</v>
      </c>
      <c r="F453" s="3">
        <v>19.791367999999999</v>
      </c>
      <c r="G453" s="4">
        <v>5481500</v>
      </c>
      <c r="H453">
        <f t="shared" si="7"/>
        <v>-2.7158138765376944E-2</v>
      </c>
    </row>
    <row r="454" spans="1:8" x14ac:dyDescent="0.3">
      <c r="A454" s="1">
        <v>42661</v>
      </c>
      <c r="B454" s="2">
        <v>24.969999000000001</v>
      </c>
      <c r="C454" s="2">
        <v>25.110001</v>
      </c>
      <c r="D454" s="2">
        <v>24.780000999999999</v>
      </c>
      <c r="E454" s="2">
        <v>24.82</v>
      </c>
      <c r="F454" s="3">
        <v>19.887518</v>
      </c>
      <c r="G454" s="4">
        <v>2069400</v>
      </c>
      <c r="H454">
        <f t="shared" si="7"/>
        <v>4.8464956567005517E-3</v>
      </c>
    </row>
    <row r="455" spans="1:8" x14ac:dyDescent="0.3">
      <c r="A455" s="1">
        <v>42662</v>
      </c>
      <c r="B455" s="2">
        <v>24.879999000000002</v>
      </c>
      <c r="C455" s="2">
        <v>25.01</v>
      </c>
      <c r="D455" s="2">
        <v>24.450001</v>
      </c>
      <c r="E455" s="2">
        <v>25</v>
      </c>
      <c r="F455" s="3">
        <v>20.031742000000001</v>
      </c>
      <c r="G455" s="4">
        <v>2332400</v>
      </c>
      <c r="H455">
        <f t="shared" si="7"/>
        <v>7.2260450917396276E-3</v>
      </c>
    </row>
    <row r="456" spans="1:8" x14ac:dyDescent="0.3">
      <c r="A456" s="1">
        <v>42663</v>
      </c>
      <c r="B456" s="2">
        <v>24.950001</v>
      </c>
      <c r="C456" s="2">
        <v>25.200001</v>
      </c>
      <c r="D456" s="2">
        <v>24.91</v>
      </c>
      <c r="E456" s="2">
        <v>25.110001</v>
      </c>
      <c r="F456" s="3">
        <v>20.119886000000001</v>
      </c>
      <c r="G456" s="4">
        <v>2265400</v>
      </c>
      <c r="H456">
        <f t="shared" si="7"/>
        <v>4.3903881260630474E-3</v>
      </c>
    </row>
    <row r="457" spans="1:8" x14ac:dyDescent="0.3">
      <c r="A457" s="1">
        <v>42664</v>
      </c>
      <c r="B457" s="2">
        <v>25.09</v>
      </c>
      <c r="C457" s="2">
        <v>25.09</v>
      </c>
      <c r="D457" s="2">
        <v>24.719999000000001</v>
      </c>
      <c r="E457" s="2">
        <v>25.01</v>
      </c>
      <c r="F457" s="3">
        <v>20.039755</v>
      </c>
      <c r="G457" s="4">
        <v>1753200</v>
      </c>
      <c r="H457">
        <f t="shared" si="7"/>
        <v>-3.9904681047361621E-3</v>
      </c>
    </row>
    <row r="458" spans="1:8" x14ac:dyDescent="0.3">
      <c r="A458" s="1">
        <v>42667</v>
      </c>
      <c r="B458" s="2">
        <v>25.370000999999998</v>
      </c>
      <c r="C458" s="2">
        <v>25.370000999999998</v>
      </c>
      <c r="D458" s="2">
        <v>24.85</v>
      </c>
      <c r="E458" s="2">
        <v>25.139999</v>
      </c>
      <c r="F458" s="3">
        <v>20.143920999999999</v>
      </c>
      <c r="G458" s="4">
        <v>1873500</v>
      </c>
      <c r="H458">
        <f t="shared" si="7"/>
        <v>5.1844184953254678E-3</v>
      </c>
    </row>
    <row r="459" spans="1:8" x14ac:dyDescent="0.3">
      <c r="A459" s="1">
        <v>42668</v>
      </c>
      <c r="B459" s="2">
        <v>25.02</v>
      </c>
      <c r="C459" s="2">
        <v>25.15</v>
      </c>
      <c r="D459" s="2">
        <v>24.65</v>
      </c>
      <c r="E459" s="2">
        <v>24.75</v>
      </c>
      <c r="F459" s="3">
        <v>19.831427000000001</v>
      </c>
      <c r="G459" s="4">
        <v>1909900</v>
      </c>
      <c r="H459">
        <f t="shared" si="7"/>
        <v>-1.5634674370153853E-2</v>
      </c>
    </row>
    <row r="460" spans="1:8" x14ac:dyDescent="0.3">
      <c r="A460" s="1">
        <v>42669</v>
      </c>
      <c r="B460" s="2">
        <v>24.73</v>
      </c>
      <c r="C460" s="2">
        <v>25.190000999999999</v>
      </c>
      <c r="D460" s="2">
        <v>24.35</v>
      </c>
      <c r="E460" s="2">
        <v>24.77</v>
      </c>
      <c r="F460" s="3">
        <v>19.847456000000001</v>
      </c>
      <c r="G460" s="4">
        <v>3323900</v>
      </c>
      <c r="H460">
        <f t="shared" si="7"/>
        <v>8.0775448656888668E-4</v>
      </c>
    </row>
    <row r="461" spans="1:8" x14ac:dyDescent="0.3">
      <c r="A461" s="1">
        <v>42670</v>
      </c>
      <c r="B461" s="2">
        <v>24.84</v>
      </c>
      <c r="C461" s="2">
        <v>24.91</v>
      </c>
      <c r="D461" s="2">
        <v>23.889999</v>
      </c>
      <c r="E461" s="2">
        <v>23.99</v>
      </c>
      <c r="F461" s="3">
        <v>19.222463999999999</v>
      </c>
      <c r="G461" s="4">
        <v>2703400</v>
      </c>
      <c r="H461">
        <f t="shared" si="7"/>
        <v>-3.1996166649665043E-2</v>
      </c>
    </row>
    <row r="462" spans="1:8" x14ac:dyDescent="0.3">
      <c r="A462" s="1">
        <v>42671</v>
      </c>
      <c r="B462" s="2">
        <v>23.99</v>
      </c>
      <c r="C462" s="2">
        <v>24.219999000000001</v>
      </c>
      <c r="D462" s="2">
        <v>23.690000999999999</v>
      </c>
      <c r="E462" s="2">
        <v>23.9</v>
      </c>
      <c r="F462" s="3">
        <v>19.150351000000001</v>
      </c>
      <c r="G462" s="4">
        <v>1871100</v>
      </c>
      <c r="H462">
        <f t="shared" si="7"/>
        <v>-3.7586179141382622E-3</v>
      </c>
    </row>
    <row r="463" spans="1:8" x14ac:dyDescent="0.3">
      <c r="A463" s="1">
        <v>42674</v>
      </c>
      <c r="B463" s="2">
        <v>23.950001</v>
      </c>
      <c r="C463" s="2">
        <v>24.18</v>
      </c>
      <c r="D463" s="2">
        <v>23.76</v>
      </c>
      <c r="E463" s="2">
        <v>24.049999</v>
      </c>
      <c r="F463" s="3">
        <v>19.270537999999998</v>
      </c>
      <c r="G463" s="4">
        <v>2151200</v>
      </c>
      <c r="H463">
        <f t="shared" si="7"/>
        <v>6.256496034262881E-3</v>
      </c>
    </row>
    <row r="464" spans="1:8" x14ac:dyDescent="0.3">
      <c r="A464" s="1">
        <v>42675</v>
      </c>
      <c r="B464" s="2">
        <v>24.01</v>
      </c>
      <c r="C464" s="2">
        <v>24.01</v>
      </c>
      <c r="D464" s="2">
        <v>23.32</v>
      </c>
      <c r="E464" s="2">
        <v>23.559999000000001</v>
      </c>
      <c r="F464" s="3">
        <v>18.877914000000001</v>
      </c>
      <c r="G464" s="4">
        <v>2499200</v>
      </c>
      <c r="H464">
        <f t="shared" si="7"/>
        <v>-2.0584638633164405E-2</v>
      </c>
    </row>
    <row r="465" spans="1:8" x14ac:dyDescent="0.3">
      <c r="A465" s="1">
        <v>42676</v>
      </c>
      <c r="B465" s="2">
        <v>20.59</v>
      </c>
      <c r="C465" s="2">
        <v>21.540001</v>
      </c>
      <c r="D465" s="2">
        <v>20.100000000000001</v>
      </c>
      <c r="E465" s="2">
        <v>20.93</v>
      </c>
      <c r="F465" s="3">
        <v>16.770575000000001</v>
      </c>
      <c r="G465" s="4">
        <v>13653300</v>
      </c>
      <c r="H465">
        <f t="shared" si="7"/>
        <v>-0.118366779880655</v>
      </c>
    </row>
    <row r="466" spans="1:8" x14ac:dyDescent="0.3">
      <c r="A466" s="1">
        <v>42677</v>
      </c>
      <c r="B466" s="2">
        <v>20.77</v>
      </c>
      <c r="C466" s="2">
        <v>20.92</v>
      </c>
      <c r="D466" s="2">
        <v>20.52</v>
      </c>
      <c r="E466" s="2">
        <v>20.83</v>
      </c>
      <c r="F466" s="3">
        <v>16.690450999999999</v>
      </c>
      <c r="G466" s="4">
        <v>5559900</v>
      </c>
      <c r="H466">
        <f t="shared" si="7"/>
        <v>-4.7892811850277989E-3</v>
      </c>
    </row>
    <row r="467" spans="1:8" x14ac:dyDescent="0.3">
      <c r="A467" s="1">
        <v>42678</v>
      </c>
      <c r="B467" s="2">
        <v>20.790001</v>
      </c>
      <c r="C467" s="2">
        <v>21.219999000000001</v>
      </c>
      <c r="D467" s="2">
        <v>20.610001</v>
      </c>
      <c r="E467" s="2">
        <v>20.73</v>
      </c>
      <c r="F467" s="3">
        <v>16.610323000000001</v>
      </c>
      <c r="G467" s="4">
        <v>3076400</v>
      </c>
      <c r="H467">
        <f t="shared" si="7"/>
        <v>-4.8123288251922759E-3</v>
      </c>
    </row>
    <row r="468" spans="1:8" x14ac:dyDescent="0.3">
      <c r="A468" s="1">
        <v>42681</v>
      </c>
      <c r="B468" s="2">
        <v>21</v>
      </c>
      <c r="C468" s="2">
        <v>21.530000999999999</v>
      </c>
      <c r="D468" s="2">
        <v>20.75</v>
      </c>
      <c r="E468" s="2">
        <v>21.24</v>
      </c>
      <c r="F468" s="3">
        <v>17.018969999999999</v>
      </c>
      <c r="G468" s="4">
        <v>2881800</v>
      </c>
      <c r="H468">
        <f t="shared" si="7"/>
        <v>2.4304269926049733E-2</v>
      </c>
    </row>
    <row r="469" spans="1:8" x14ac:dyDescent="0.3">
      <c r="A469" s="1">
        <v>42682</v>
      </c>
      <c r="B469" s="2">
        <v>21.139999</v>
      </c>
      <c r="C469" s="2">
        <v>21.25</v>
      </c>
      <c r="D469" s="2">
        <v>20.860001</v>
      </c>
      <c r="E469" s="2">
        <v>20.91</v>
      </c>
      <c r="F469" s="3">
        <v>16.754549000000001</v>
      </c>
      <c r="G469" s="4">
        <v>1884000</v>
      </c>
      <c r="H469">
        <f t="shared" si="7"/>
        <v>-1.565868293319576E-2</v>
      </c>
    </row>
    <row r="470" spans="1:8" x14ac:dyDescent="0.3">
      <c r="A470" s="1">
        <v>42683</v>
      </c>
      <c r="B470" s="2">
        <v>20.59</v>
      </c>
      <c r="C470" s="2">
        <v>21.610001</v>
      </c>
      <c r="D470" s="2">
        <v>20.5</v>
      </c>
      <c r="E470" s="2">
        <v>21.530000999999999</v>
      </c>
      <c r="F470" s="3">
        <v>17.251339000000002</v>
      </c>
      <c r="G470" s="4">
        <v>1740500</v>
      </c>
      <c r="H470">
        <f t="shared" si="7"/>
        <v>2.9219844382546663E-2</v>
      </c>
    </row>
    <row r="471" spans="1:8" x14ac:dyDescent="0.3">
      <c r="A471" s="1">
        <v>42684</v>
      </c>
      <c r="B471" s="2">
        <v>21.76</v>
      </c>
      <c r="C471" s="2">
        <v>22.52</v>
      </c>
      <c r="D471" s="2">
        <v>21.709999</v>
      </c>
      <c r="E471" s="2">
        <v>21.870000999999998</v>
      </c>
      <c r="F471" s="3">
        <v>17.523771</v>
      </c>
      <c r="G471" s="4">
        <v>2523800</v>
      </c>
      <c r="H471">
        <f t="shared" si="7"/>
        <v>1.5668522590323558E-2</v>
      </c>
    </row>
    <row r="472" spans="1:8" x14ac:dyDescent="0.3">
      <c r="A472" s="1">
        <v>42685</v>
      </c>
      <c r="B472" s="2">
        <v>21.809999000000001</v>
      </c>
      <c r="C472" s="2">
        <v>22.370000999999998</v>
      </c>
      <c r="D472" s="2">
        <v>21.5</v>
      </c>
      <c r="E472" s="2">
        <v>22.32</v>
      </c>
      <c r="F472" s="3">
        <v>17.884342</v>
      </c>
      <c r="G472" s="4">
        <v>2197400</v>
      </c>
      <c r="H472">
        <f t="shared" si="7"/>
        <v>2.0367257099697673E-2</v>
      </c>
    </row>
    <row r="473" spans="1:8" x14ac:dyDescent="0.3">
      <c r="A473" s="1">
        <v>42688</v>
      </c>
      <c r="B473" s="2">
        <v>22.440000999999999</v>
      </c>
      <c r="C473" s="2">
        <v>23.290001</v>
      </c>
      <c r="D473" s="2">
        <v>22.4</v>
      </c>
      <c r="E473" s="2">
        <v>22.99</v>
      </c>
      <c r="F473" s="3">
        <v>18.421192000000001</v>
      </c>
      <c r="G473" s="4">
        <v>2075400</v>
      </c>
      <c r="H473">
        <f t="shared" si="7"/>
        <v>2.9576201261979931E-2</v>
      </c>
    </row>
    <row r="474" spans="1:8" x14ac:dyDescent="0.3">
      <c r="A474" s="1">
        <v>42689</v>
      </c>
      <c r="B474" s="2">
        <v>22.93</v>
      </c>
      <c r="C474" s="2">
        <v>22.99</v>
      </c>
      <c r="D474" s="2">
        <v>22.190000999999999</v>
      </c>
      <c r="E474" s="2">
        <v>22.65</v>
      </c>
      <c r="F474" s="3">
        <v>18.148758000000001</v>
      </c>
      <c r="G474" s="4">
        <v>2216800</v>
      </c>
      <c r="H474">
        <f t="shared" si="7"/>
        <v>-1.489948684604718E-2</v>
      </c>
    </row>
    <row r="475" spans="1:8" x14ac:dyDescent="0.3">
      <c r="A475" s="1">
        <v>42690</v>
      </c>
      <c r="B475" s="2">
        <v>22.530000999999999</v>
      </c>
      <c r="C475" s="2">
        <v>23.18</v>
      </c>
      <c r="D475" s="2">
        <v>22.440000999999999</v>
      </c>
      <c r="E475" s="2">
        <v>23.059999000000001</v>
      </c>
      <c r="F475" s="3">
        <v>18.477283</v>
      </c>
      <c r="G475" s="4">
        <v>1708300</v>
      </c>
      <c r="H475">
        <f t="shared" si="7"/>
        <v>1.7939619546734668E-2</v>
      </c>
    </row>
    <row r="476" spans="1:8" x14ac:dyDescent="0.3">
      <c r="A476" s="1">
        <v>42691</v>
      </c>
      <c r="B476" s="2">
        <v>23.309999000000001</v>
      </c>
      <c r="C476" s="2">
        <v>23.5</v>
      </c>
      <c r="D476" s="2">
        <v>23.01</v>
      </c>
      <c r="E476" s="2">
        <v>23.459999</v>
      </c>
      <c r="F476" s="3">
        <v>18.797789000000002</v>
      </c>
      <c r="G476" s="4">
        <v>1143500</v>
      </c>
      <c r="H476">
        <f t="shared" si="7"/>
        <v>1.7197329123804884E-2</v>
      </c>
    </row>
    <row r="477" spans="1:8" x14ac:dyDescent="0.3">
      <c r="A477" s="1">
        <v>42692</v>
      </c>
      <c r="B477" s="2">
        <v>23.370000999999998</v>
      </c>
      <c r="C477" s="2">
        <v>23.540001</v>
      </c>
      <c r="D477" s="2">
        <v>23.030000999999999</v>
      </c>
      <c r="E477" s="2">
        <v>23.459999</v>
      </c>
      <c r="F477" s="3">
        <v>18.797789000000002</v>
      </c>
      <c r="G477" s="4">
        <v>1679000</v>
      </c>
      <c r="H477">
        <f t="shared" si="7"/>
        <v>0</v>
      </c>
    </row>
    <row r="478" spans="1:8" x14ac:dyDescent="0.3">
      <c r="A478" s="1">
        <v>42695</v>
      </c>
      <c r="B478" s="2">
        <v>23.530000999999999</v>
      </c>
      <c r="C478" s="2">
        <v>23.57</v>
      </c>
      <c r="D478" s="2">
        <v>23.16</v>
      </c>
      <c r="E478" s="2">
        <v>23.459999</v>
      </c>
      <c r="F478" s="3">
        <v>18.797789000000002</v>
      </c>
      <c r="G478" s="4">
        <v>2235500</v>
      </c>
      <c r="H478">
        <f t="shared" si="7"/>
        <v>0</v>
      </c>
    </row>
    <row r="479" spans="1:8" x14ac:dyDescent="0.3">
      <c r="A479" s="1">
        <v>42696</v>
      </c>
      <c r="B479" s="2">
        <v>23.690000999999999</v>
      </c>
      <c r="C479" s="2">
        <v>24.209999</v>
      </c>
      <c r="D479" s="2">
        <v>23.6</v>
      </c>
      <c r="E479" s="2">
        <v>24.110001</v>
      </c>
      <c r="F479" s="3">
        <v>19.318615000000001</v>
      </c>
      <c r="G479" s="4">
        <v>3741700</v>
      </c>
      <c r="H479">
        <f t="shared" si="7"/>
        <v>2.7329933070061943E-2</v>
      </c>
    </row>
    <row r="480" spans="1:8" x14ac:dyDescent="0.3">
      <c r="A480" s="1">
        <v>42697</v>
      </c>
      <c r="B480" s="2">
        <v>24.780000999999999</v>
      </c>
      <c r="C480" s="2">
        <v>26.41</v>
      </c>
      <c r="D480" s="2">
        <v>24.639999</v>
      </c>
      <c r="E480" s="2">
        <v>26.059999000000001</v>
      </c>
      <c r="F480" s="3">
        <v>20.881087999999998</v>
      </c>
      <c r="G480" s="4">
        <v>9376800</v>
      </c>
      <c r="H480">
        <f t="shared" si="7"/>
        <v>7.7774799654068402E-2</v>
      </c>
    </row>
    <row r="481" spans="1:8" x14ac:dyDescent="0.3">
      <c r="A481" s="1">
        <v>42699</v>
      </c>
      <c r="B481" s="2">
        <v>26.139999</v>
      </c>
      <c r="C481" s="2">
        <v>26.49</v>
      </c>
      <c r="D481" s="2">
        <v>25.780000999999999</v>
      </c>
      <c r="E481" s="2">
        <v>25.82</v>
      </c>
      <c r="F481" s="3">
        <v>20.688783999999998</v>
      </c>
      <c r="G481" s="4">
        <v>2313300</v>
      </c>
      <c r="H481">
        <f t="shared" si="7"/>
        <v>-9.2521479052165342E-3</v>
      </c>
    </row>
    <row r="482" spans="1:8" x14ac:dyDescent="0.3">
      <c r="A482" s="1">
        <v>42702</v>
      </c>
      <c r="B482" s="2">
        <v>26</v>
      </c>
      <c r="C482" s="2">
        <v>26</v>
      </c>
      <c r="D482" s="2">
        <v>24.76</v>
      </c>
      <c r="E482" s="2">
        <v>25.15</v>
      </c>
      <c r="F482" s="3">
        <v>20.151934000000001</v>
      </c>
      <c r="G482" s="4">
        <v>2815700</v>
      </c>
      <c r="H482">
        <f t="shared" si="7"/>
        <v>-2.6291488872748348E-2</v>
      </c>
    </row>
    <row r="483" spans="1:8" x14ac:dyDescent="0.3">
      <c r="A483" s="1">
        <v>42703</v>
      </c>
      <c r="B483" s="2">
        <v>24.85</v>
      </c>
      <c r="C483" s="2">
        <v>25.030000999999999</v>
      </c>
      <c r="D483" s="2">
        <v>24.35</v>
      </c>
      <c r="E483" s="2">
        <v>24.49</v>
      </c>
      <c r="F483" s="3">
        <v>19.916096</v>
      </c>
      <c r="G483" s="4">
        <v>2321100</v>
      </c>
      <c r="H483">
        <f t="shared" si="7"/>
        <v>-2.6593025581671866E-2</v>
      </c>
    </row>
    <row r="484" spans="1:8" x14ac:dyDescent="0.3">
      <c r="A484" s="1">
        <v>42704</v>
      </c>
      <c r="B484" s="2">
        <v>24.459999</v>
      </c>
      <c r="C484" s="2">
        <v>24.84</v>
      </c>
      <c r="D484" s="2">
        <v>24.25</v>
      </c>
      <c r="E484" s="2">
        <v>24.690000999999999</v>
      </c>
      <c r="F484" s="3">
        <v>20.078742999999999</v>
      </c>
      <c r="G484" s="4">
        <v>3192300</v>
      </c>
      <c r="H484">
        <f t="shared" si="7"/>
        <v>8.1334728952386012E-3</v>
      </c>
    </row>
    <row r="485" spans="1:8" x14ac:dyDescent="0.3">
      <c r="A485" s="1">
        <v>42705</v>
      </c>
      <c r="B485" s="2">
        <v>24.66</v>
      </c>
      <c r="C485" s="2">
        <v>25.02</v>
      </c>
      <c r="D485" s="2">
        <v>24.450001</v>
      </c>
      <c r="E485" s="2">
        <v>24.639999</v>
      </c>
      <c r="F485" s="3">
        <v>20.038081999999999</v>
      </c>
      <c r="G485" s="4">
        <v>1440700</v>
      </c>
      <c r="H485">
        <f t="shared" si="7"/>
        <v>-2.0272457784122656E-3</v>
      </c>
    </row>
    <row r="486" spans="1:8" x14ac:dyDescent="0.3">
      <c r="A486" s="1">
        <v>42706</v>
      </c>
      <c r="B486" s="2">
        <v>24.610001</v>
      </c>
      <c r="C486" s="2">
        <v>24.83</v>
      </c>
      <c r="D486" s="2">
        <v>24.129999000000002</v>
      </c>
      <c r="E486" s="2">
        <v>24.27</v>
      </c>
      <c r="F486" s="3">
        <v>19.737186000000001</v>
      </c>
      <c r="G486" s="4">
        <v>1572800</v>
      </c>
      <c r="H486">
        <f t="shared" si="7"/>
        <v>-1.5130078342392616E-2</v>
      </c>
    </row>
    <row r="487" spans="1:8" x14ac:dyDescent="0.3">
      <c r="A487" s="1">
        <v>42709</v>
      </c>
      <c r="B487" s="2">
        <v>24.440000999999999</v>
      </c>
      <c r="C487" s="2">
        <v>24.879999000000002</v>
      </c>
      <c r="D487" s="2">
        <v>24.27</v>
      </c>
      <c r="E487" s="2">
        <v>24.52</v>
      </c>
      <c r="F487" s="3">
        <v>19.940494999999999</v>
      </c>
      <c r="G487" s="4">
        <v>2335300</v>
      </c>
      <c r="H487">
        <f t="shared" si="7"/>
        <v>1.024809132950074E-2</v>
      </c>
    </row>
    <row r="488" spans="1:8" x14ac:dyDescent="0.3">
      <c r="A488" s="1">
        <v>42710</v>
      </c>
      <c r="B488" s="2">
        <v>24.65</v>
      </c>
      <c r="C488" s="2">
        <v>24.93</v>
      </c>
      <c r="D488" s="2">
        <v>24.59</v>
      </c>
      <c r="E488" s="2">
        <v>24.889999</v>
      </c>
      <c r="F488" s="3">
        <v>20.241389999999999</v>
      </c>
      <c r="G488" s="4">
        <v>1508000</v>
      </c>
      <c r="H488">
        <f t="shared" si="7"/>
        <v>1.4976965134711298E-2</v>
      </c>
    </row>
    <row r="489" spans="1:8" x14ac:dyDescent="0.3">
      <c r="A489" s="1">
        <v>42711</v>
      </c>
      <c r="B489" s="2">
        <v>25.17</v>
      </c>
      <c r="C489" s="2">
        <v>26.110001</v>
      </c>
      <c r="D489" s="2">
        <v>25.16</v>
      </c>
      <c r="E489" s="2">
        <v>25.940000999999999</v>
      </c>
      <c r="F489" s="3">
        <v>21.095285000000001</v>
      </c>
      <c r="G489" s="4">
        <v>2799300</v>
      </c>
      <c r="H489">
        <f t="shared" si="7"/>
        <v>4.1320141236076205E-2</v>
      </c>
    </row>
    <row r="490" spans="1:8" x14ac:dyDescent="0.3">
      <c r="A490" s="1">
        <v>42712</v>
      </c>
      <c r="B490" s="2">
        <v>26</v>
      </c>
      <c r="C490" s="2">
        <v>26.18</v>
      </c>
      <c r="D490" s="2">
        <v>25.540001</v>
      </c>
      <c r="E490" s="2">
        <v>25.969999000000001</v>
      </c>
      <c r="F490" s="3">
        <v>21.119682000000001</v>
      </c>
      <c r="G490" s="4">
        <v>3100200</v>
      </c>
      <c r="H490">
        <f t="shared" si="7"/>
        <v>1.1557697298898114E-3</v>
      </c>
    </row>
    <row r="491" spans="1:8" x14ac:dyDescent="0.3">
      <c r="A491" s="1">
        <v>42713</v>
      </c>
      <c r="B491" s="2">
        <v>25.9</v>
      </c>
      <c r="C491" s="2">
        <v>26.33</v>
      </c>
      <c r="D491" s="2">
        <v>25.77</v>
      </c>
      <c r="E491" s="2">
        <v>26.02</v>
      </c>
      <c r="F491" s="3">
        <v>21.160345</v>
      </c>
      <c r="G491" s="4">
        <v>2451700</v>
      </c>
      <c r="H491">
        <f t="shared" si="7"/>
        <v>1.9234859156711708E-3</v>
      </c>
    </row>
    <row r="492" spans="1:8" x14ac:dyDescent="0.3">
      <c r="A492" s="1">
        <v>42716</v>
      </c>
      <c r="B492" s="2">
        <v>26.059999000000001</v>
      </c>
      <c r="C492" s="2">
        <v>26.469999000000001</v>
      </c>
      <c r="D492" s="2">
        <v>25.77</v>
      </c>
      <c r="E492" s="2">
        <v>26.42</v>
      </c>
      <c r="F492" s="3">
        <v>21.485641000000001</v>
      </c>
      <c r="G492" s="4">
        <v>2146200</v>
      </c>
      <c r="H492">
        <f t="shared" si="7"/>
        <v>1.5255826009820207E-2</v>
      </c>
    </row>
    <row r="493" spans="1:8" x14ac:dyDescent="0.3">
      <c r="A493" s="1">
        <v>42717</v>
      </c>
      <c r="B493" s="2">
        <v>26.51</v>
      </c>
      <c r="C493" s="2">
        <v>26.85</v>
      </c>
      <c r="D493" s="2">
        <v>26.33</v>
      </c>
      <c r="E493" s="2">
        <v>26.389999</v>
      </c>
      <c r="F493" s="3">
        <v>21.461243</v>
      </c>
      <c r="G493" s="4">
        <v>2399300</v>
      </c>
      <c r="H493">
        <f t="shared" si="7"/>
        <v>-1.1361864720887003E-3</v>
      </c>
    </row>
    <row r="494" spans="1:8" x14ac:dyDescent="0.3">
      <c r="A494" s="1">
        <v>42718</v>
      </c>
      <c r="B494" s="2">
        <v>26.34</v>
      </c>
      <c r="C494" s="2">
        <v>26.42</v>
      </c>
      <c r="D494" s="2">
        <v>25.190000999999999</v>
      </c>
      <c r="E494" s="2">
        <v>25.280000999999999</v>
      </c>
      <c r="F494" s="3">
        <v>20.55855</v>
      </c>
      <c r="G494" s="4">
        <v>2373300</v>
      </c>
      <c r="H494">
        <f t="shared" si="7"/>
        <v>-4.2971503786472735E-2</v>
      </c>
    </row>
    <row r="495" spans="1:8" x14ac:dyDescent="0.3">
      <c r="A495" s="1">
        <v>42719</v>
      </c>
      <c r="B495" s="2">
        <v>25.27</v>
      </c>
      <c r="C495" s="2">
        <v>25.709999</v>
      </c>
      <c r="D495" s="2">
        <v>25.1</v>
      </c>
      <c r="E495" s="2">
        <v>25.34</v>
      </c>
      <c r="F495" s="3">
        <v>20.607347000000001</v>
      </c>
      <c r="G495" s="4">
        <v>1964800</v>
      </c>
      <c r="H495">
        <f t="shared" si="7"/>
        <v>2.3705660573751343E-3</v>
      </c>
    </row>
    <row r="496" spans="1:8" x14ac:dyDescent="0.3">
      <c r="A496" s="1">
        <v>42720</v>
      </c>
      <c r="B496" s="2">
        <v>25.35</v>
      </c>
      <c r="C496" s="2">
        <v>25.68</v>
      </c>
      <c r="D496" s="2">
        <v>25.290001</v>
      </c>
      <c r="E496" s="2">
        <v>25.42</v>
      </c>
      <c r="F496" s="3">
        <v>20.672402999999999</v>
      </c>
      <c r="G496" s="4">
        <v>3383300</v>
      </c>
      <c r="H496">
        <f t="shared" si="7"/>
        <v>3.1520908683151162E-3</v>
      </c>
    </row>
    <row r="497" spans="1:8" x14ac:dyDescent="0.3">
      <c r="A497" s="1">
        <v>42723</v>
      </c>
      <c r="B497" s="2">
        <v>25.41</v>
      </c>
      <c r="C497" s="2">
        <v>25.91</v>
      </c>
      <c r="D497" s="2">
        <v>25.41</v>
      </c>
      <c r="E497" s="2">
        <v>25.9</v>
      </c>
      <c r="F497" s="3">
        <v>21.062756</v>
      </c>
      <c r="G497" s="4">
        <v>1316700</v>
      </c>
      <c r="H497">
        <f t="shared" si="7"/>
        <v>1.8706702944184E-2</v>
      </c>
    </row>
    <row r="498" spans="1:8" x14ac:dyDescent="0.3">
      <c r="A498" s="1">
        <v>42724</v>
      </c>
      <c r="B498" s="2">
        <v>25.860001</v>
      </c>
      <c r="C498" s="2">
        <v>26.16</v>
      </c>
      <c r="D498" s="2">
        <v>25.84</v>
      </c>
      <c r="E498" s="2">
        <v>26.120000999999998</v>
      </c>
      <c r="F498" s="3">
        <v>21.241669000000002</v>
      </c>
      <c r="G498" s="4">
        <v>1031700</v>
      </c>
      <c r="H498">
        <f t="shared" si="7"/>
        <v>8.4583739875766801E-3</v>
      </c>
    </row>
    <row r="499" spans="1:8" x14ac:dyDescent="0.3">
      <c r="A499" s="1">
        <v>42725</v>
      </c>
      <c r="B499" s="2">
        <v>26.07</v>
      </c>
      <c r="C499" s="2">
        <v>26.540001</v>
      </c>
      <c r="D499" s="2">
        <v>25.85</v>
      </c>
      <c r="E499" s="2">
        <v>26.389999</v>
      </c>
      <c r="F499" s="3">
        <v>21.461243</v>
      </c>
      <c r="G499" s="4">
        <v>1879400</v>
      </c>
      <c r="H499">
        <f t="shared" si="7"/>
        <v>1.0283769929021837E-2</v>
      </c>
    </row>
    <row r="500" spans="1:8" x14ac:dyDescent="0.3">
      <c r="A500" s="1">
        <v>42726</v>
      </c>
      <c r="B500" s="2">
        <v>26.370000999999998</v>
      </c>
      <c r="C500" s="2">
        <v>26.370000999999998</v>
      </c>
      <c r="D500" s="2">
        <v>25.040001</v>
      </c>
      <c r="E500" s="2">
        <v>25.059999000000001</v>
      </c>
      <c r="F500" s="3">
        <v>20.379640999999999</v>
      </c>
      <c r="G500" s="4">
        <v>2296500</v>
      </c>
      <c r="H500">
        <f t="shared" si="7"/>
        <v>-5.1712203058399006E-2</v>
      </c>
    </row>
    <row r="501" spans="1:8" x14ac:dyDescent="0.3">
      <c r="A501" s="1">
        <v>42727</v>
      </c>
      <c r="B501" s="2">
        <v>25.559999000000001</v>
      </c>
      <c r="C501" s="2">
        <v>26.01</v>
      </c>
      <c r="D501" s="2">
        <v>25.32</v>
      </c>
      <c r="E501" s="2">
        <v>25.41</v>
      </c>
      <c r="F501" s="3">
        <v>20.664272</v>
      </c>
      <c r="G501" s="4">
        <v>1977600</v>
      </c>
      <c r="H501">
        <f t="shared" si="7"/>
        <v>1.386988776838113E-2</v>
      </c>
    </row>
    <row r="502" spans="1:8" x14ac:dyDescent="0.3">
      <c r="A502" s="1">
        <v>42731</v>
      </c>
      <c r="B502" s="2">
        <v>25.41</v>
      </c>
      <c r="C502" s="2">
        <v>26</v>
      </c>
      <c r="D502" s="2">
        <v>25.4</v>
      </c>
      <c r="E502" s="2">
        <v>25.950001</v>
      </c>
      <c r="F502" s="3">
        <v>21.10342</v>
      </c>
      <c r="G502" s="4">
        <v>1596100</v>
      </c>
      <c r="H502">
        <f t="shared" si="7"/>
        <v>2.1028850815469638E-2</v>
      </c>
    </row>
    <row r="503" spans="1:8" x14ac:dyDescent="0.3">
      <c r="A503" s="1">
        <v>42732</v>
      </c>
      <c r="B503" s="2">
        <v>25.790001</v>
      </c>
      <c r="C503" s="2">
        <v>25.950001</v>
      </c>
      <c r="D503" s="2">
        <v>25.08</v>
      </c>
      <c r="E503" s="2">
        <v>25.27</v>
      </c>
      <c r="F503" s="3">
        <v>20.550419000000002</v>
      </c>
      <c r="G503" s="4">
        <v>1716100</v>
      </c>
      <c r="H503">
        <f t="shared" si="7"/>
        <v>-2.6553726747439579E-2</v>
      </c>
    </row>
    <row r="504" spans="1:8" x14ac:dyDescent="0.3">
      <c r="A504" s="1">
        <v>42733</v>
      </c>
      <c r="B504" s="2">
        <v>25.24</v>
      </c>
      <c r="C504" s="2">
        <v>25.76</v>
      </c>
      <c r="D504" s="2">
        <v>25.24</v>
      </c>
      <c r="E504" s="2">
        <v>25.34</v>
      </c>
      <c r="F504" s="3">
        <v>20.607347000000001</v>
      </c>
      <c r="G504" s="4">
        <v>1714800</v>
      </c>
      <c r="H504">
        <f t="shared" si="7"/>
        <v>2.76625349289011E-3</v>
      </c>
    </row>
    <row r="505" spans="1:8" x14ac:dyDescent="0.3">
      <c r="A505" s="1">
        <v>42734</v>
      </c>
      <c r="B505" s="2">
        <v>25.42</v>
      </c>
      <c r="C505" s="2">
        <v>25.75</v>
      </c>
      <c r="D505" s="2">
        <v>25.219999000000001</v>
      </c>
      <c r="E505" s="2">
        <v>25.26</v>
      </c>
      <c r="F505" s="3">
        <v>20.542286000000001</v>
      </c>
      <c r="G505" s="4">
        <v>1747800</v>
      </c>
      <c r="H505">
        <f t="shared" si="7"/>
        <v>-3.1620579706478393E-3</v>
      </c>
    </row>
    <row r="506" spans="1:8" x14ac:dyDescent="0.3">
      <c r="A506" s="1">
        <v>42738</v>
      </c>
      <c r="B506" s="2">
        <v>25.440000999999999</v>
      </c>
      <c r="C506" s="2">
        <v>25.469999000000001</v>
      </c>
      <c r="D506" s="2">
        <v>25.02</v>
      </c>
      <c r="E506" s="2">
        <v>25.370000999999998</v>
      </c>
      <c r="F506" s="3">
        <v>20.631744000000001</v>
      </c>
      <c r="G506" s="4">
        <v>1941400</v>
      </c>
      <c r="H506">
        <f t="shared" si="7"/>
        <v>4.3452961054784457E-3</v>
      </c>
    </row>
    <row r="507" spans="1:8" x14ac:dyDescent="0.3">
      <c r="A507" s="1">
        <v>42739</v>
      </c>
      <c r="B507" s="2">
        <v>25.58</v>
      </c>
      <c r="C507" s="2">
        <v>26.049999</v>
      </c>
      <c r="D507" s="2">
        <v>25.58</v>
      </c>
      <c r="E507" s="2">
        <v>25.92</v>
      </c>
      <c r="F507" s="3">
        <v>21.07902</v>
      </c>
      <c r="G507" s="4">
        <v>2244300</v>
      </c>
      <c r="H507">
        <f t="shared" si="7"/>
        <v>2.1447458456250623E-2</v>
      </c>
    </row>
    <row r="508" spans="1:8" x14ac:dyDescent="0.3">
      <c r="A508" s="1">
        <v>42740</v>
      </c>
      <c r="B508" s="2">
        <v>25.559999000000001</v>
      </c>
      <c r="C508" s="2">
        <v>25.559999000000001</v>
      </c>
      <c r="D508" s="2">
        <v>24.9</v>
      </c>
      <c r="E508" s="2">
        <v>25</v>
      </c>
      <c r="F508" s="3">
        <v>20.330845</v>
      </c>
      <c r="G508" s="4">
        <v>3037700</v>
      </c>
      <c r="H508">
        <f t="shared" si="7"/>
        <v>-3.6139046615873242E-2</v>
      </c>
    </row>
    <row r="509" spans="1:8" x14ac:dyDescent="0.3">
      <c r="A509" s="1">
        <v>42741</v>
      </c>
      <c r="B509" s="2">
        <v>25.15</v>
      </c>
      <c r="C509" s="2">
        <v>25.17</v>
      </c>
      <c r="D509" s="2">
        <v>24.5</v>
      </c>
      <c r="E509" s="2">
        <v>24.52</v>
      </c>
      <c r="F509" s="3">
        <v>19.940494999999999</v>
      </c>
      <c r="G509" s="4">
        <v>2333600</v>
      </c>
      <c r="H509">
        <f t="shared" si="7"/>
        <v>-1.9386713800190095E-2</v>
      </c>
    </row>
    <row r="510" spans="1:8" x14ac:dyDescent="0.3">
      <c r="A510" s="1">
        <v>42744</v>
      </c>
      <c r="B510" s="2">
        <v>24.6</v>
      </c>
      <c r="C510" s="2">
        <v>24.66</v>
      </c>
      <c r="D510" s="2">
        <v>24.33</v>
      </c>
      <c r="E510" s="2">
        <v>24.49</v>
      </c>
      <c r="F510" s="3">
        <v>19.916096</v>
      </c>
      <c r="G510" s="4">
        <v>1646700</v>
      </c>
      <c r="H510">
        <f t="shared" si="7"/>
        <v>-1.2242401039343745E-3</v>
      </c>
    </row>
    <row r="511" spans="1:8" x14ac:dyDescent="0.3">
      <c r="A511" s="1">
        <v>42745</v>
      </c>
      <c r="B511" s="2">
        <v>24.52</v>
      </c>
      <c r="C511" s="2">
        <v>25.1</v>
      </c>
      <c r="D511" s="2">
        <v>24.440000999999999</v>
      </c>
      <c r="E511" s="2">
        <v>24.639999</v>
      </c>
      <c r="F511" s="3">
        <v>20.038081999999999</v>
      </c>
      <c r="G511" s="4">
        <v>2243100</v>
      </c>
      <c r="H511">
        <f t="shared" si="7"/>
        <v>6.1062271168263443E-3</v>
      </c>
    </row>
    <row r="512" spans="1:8" x14ac:dyDescent="0.3">
      <c r="A512" s="1">
        <v>42746</v>
      </c>
      <c r="B512" s="2">
        <v>24.74</v>
      </c>
      <c r="C512" s="2">
        <v>25.129999000000002</v>
      </c>
      <c r="D512" s="2">
        <v>24.5</v>
      </c>
      <c r="E512" s="2">
        <v>24.610001</v>
      </c>
      <c r="F512" s="3">
        <v>20.013684999999999</v>
      </c>
      <c r="G512" s="4">
        <v>2543400</v>
      </c>
      <c r="H512">
        <f t="shared" si="7"/>
        <v>-1.2181930440502348E-3</v>
      </c>
    </row>
    <row r="513" spans="1:8" x14ac:dyDescent="0.3">
      <c r="A513" s="1">
        <v>42747</v>
      </c>
      <c r="B513" s="2">
        <v>24.610001</v>
      </c>
      <c r="C513" s="2">
        <v>24.940000999999999</v>
      </c>
      <c r="D513" s="2">
        <v>24.58</v>
      </c>
      <c r="E513" s="2">
        <v>24.719999000000001</v>
      </c>
      <c r="F513" s="3">
        <v>20.10314</v>
      </c>
      <c r="G513" s="4">
        <v>2643200</v>
      </c>
      <c r="H513">
        <f t="shared" si="7"/>
        <v>4.45968709956254E-3</v>
      </c>
    </row>
    <row r="514" spans="1:8" x14ac:dyDescent="0.3">
      <c r="A514" s="1">
        <v>42748</v>
      </c>
      <c r="B514" s="2">
        <v>22.290001</v>
      </c>
      <c r="C514" s="2">
        <v>23.190000999999999</v>
      </c>
      <c r="D514" s="2">
        <v>22.27</v>
      </c>
      <c r="E514" s="2">
        <v>22.73</v>
      </c>
      <c r="F514" s="3">
        <v>18.484804</v>
      </c>
      <c r="G514" s="4">
        <v>14823900</v>
      </c>
      <c r="H514">
        <f t="shared" si="7"/>
        <v>-8.392695427196302E-2</v>
      </c>
    </row>
    <row r="515" spans="1:8" x14ac:dyDescent="0.3">
      <c r="A515" s="1">
        <v>42752</v>
      </c>
      <c r="B515" s="2">
        <v>22.74</v>
      </c>
      <c r="C515" s="2">
        <v>23.75</v>
      </c>
      <c r="D515" s="2">
        <v>22.68</v>
      </c>
      <c r="E515" s="2">
        <v>23.34</v>
      </c>
      <c r="F515" s="3">
        <v>18.980875000000001</v>
      </c>
      <c r="G515" s="4">
        <v>4983400</v>
      </c>
      <c r="H515">
        <f t="shared" si="7"/>
        <v>2.6482988993958161E-2</v>
      </c>
    </row>
    <row r="516" spans="1:8" x14ac:dyDescent="0.3">
      <c r="A516" s="1">
        <v>42753</v>
      </c>
      <c r="B516" s="2">
        <v>23.299999</v>
      </c>
      <c r="C516" s="2">
        <v>23.620000999999998</v>
      </c>
      <c r="D516" s="2">
        <v>22.9</v>
      </c>
      <c r="E516" s="2">
        <v>23.49</v>
      </c>
      <c r="F516" s="3">
        <v>19.102865000000001</v>
      </c>
      <c r="G516" s="4">
        <v>2180900</v>
      </c>
      <c r="H516">
        <f t="shared" ref="H516:H579" si="8">LN(E516/E515)</f>
        <v>6.4061718124115074E-3</v>
      </c>
    </row>
    <row r="517" spans="1:8" x14ac:dyDescent="0.3">
      <c r="A517" s="1">
        <v>42754</v>
      </c>
      <c r="B517" s="2">
        <v>23.530000999999999</v>
      </c>
      <c r="C517" s="2">
        <v>23.690000999999999</v>
      </c>
      <c r="D517" s="2">
        <v>23.18</v>
      </c>
      <c r="E517" s="2">
        <v>23.309999000000001</v>
      </c>
      <c r="F517" s="3">
        <v>18.956482000000001</v>
      </c>
      <c r="G517" s="4">
        <v>2002400</v>
      </c>
      <c r="H517">
        <f t="shared" si="8"/>
        <v>-7.6923885231993073E-3</v>
      </c>
    </row>
    <row r="518" spans="1:8" x14ac:dyDescent="0.3">
      <c r="A518" s="1">
        <v>42755</v>
      </c>
      <c r="B518" s="2">
        <v>23.459999</v>
      </c>
      <c r="C518" s="2">
        <v>23.629999000000002</v>
      </c>
      <c r="D518" s="2">
        <v>23.33</v>
      </c>
      <c r="E518" s="2">
        <v>23.58</v>
      </c>
      <c r="F518" s="3">
        <v>19.176055999999999</v>
      </c>
      <c r="G518" s="4">
        <v>2566100</v>
      </c>
      <c r="H518">
        <f t="shared" si="8"/>
        <v>1.1516484961602699E-2</v>
      </c>
    </row>
    <row r="519" spans="1:8" x14ac:dyDescent="0.3">
      <c r="A519" s="1">
        <v>42758</v>
      </c>
      <c r="B519" s="2">
        <v>23.67</v>
      </c>
      <c r="C519" s="2">
        <v>24</v>
      </c>
      <c r="D519" s="2">
        <v>23.450001</v>
      </c>
      <c r="E519" s="2">
        <v>23.93</v>
      </c>
      <c r="F519" s="3">
        <v>19.460688000000001</v>
      </c>
      <c r="G519" s="4">
        <v>2186300</v>
      </c>
      <c r="H519">
        <f t="shared" si="8"/>
        <v>1.4734006811057189E-2</v>
      </c>
    </row>
    <row r="520" spans="1:8" x14ac:dyDescent="0.3">
      <c r="A520" s="1">
        <v>42759</v>
      </c>
      <c r="B520" s="2">
        <v>23.940000999999999</v>
      </c>
      <c r="C520" s="2">
        <v>24.15</v>
      </c>
      <c r="D520" s="2">
        <v>23.719999000000001</v>
      </c>
      <c r="E520" s="2">
        <v>23.870000999999998</v>
      </c>
      <c r="F520" s="3">
        <v>19.411892000000002</v>
      </c>
      <c r="G520" s="4">
        <v>2850600</v>
      </c>
      <c r="H520">
        <f t="shared" si="8"/>
        <v>-2.5104196759538531E-3</v>
      </c>
    </row>
    <row r="521" spans="1:8" x14ac:dyDescent="0.3">
      <c r="A521" s="1">
        <v>42760</v>
      </c>
      <c r="B521" s="2">
        <v>24</v>
      </c>
      <c r="C521" s="2">
        <v>24.219999000000001</v>
      </c>
      <c r="D521" s="2">
        <v>23.93</v>
      </c>
      <c r="E521" s="2">
        <v>24.17</v>
      </c>
      <c r="F521" s="3">
        <v>19.655863</v>
      </c>
      <c r="G521" s="4">
        <v>1887700</v>
      </c>
      <c r="H521">
        <f t="shared" si="8"/>
        <v>1.2489712471063721E-2</v>
      </c>
    </row>
    <row r="522" spans="1:8" x14ac:dyDescent="0.3">
      <c r="A522" s="1">
        <v>42761</v>
      </c>
      <c r="B522" s="2">
        <v>24.25</v>
      </c>
      <c r="C522" s="2">
        <v>24.690000999999999</v>
      </c>
      <c r="D522" s="2">
        <v>24.120000999999998</v>
      </c>
      <c r="E522" s="2">
        <v>24.219999000000001</v>
      </c>
      <c r="F522" s="3">
        <v>19.696524</v>
      </c>
      <c r="G522" s="4">
        <v>3160300</v>
      </c>
      <c r="H522">
        <f t="shared" si="8"/>
        <v>2.0665021213620094E-3</v>
      </c>
    </row>
    <row r="523" spans="1:8" x14ac:dyDescent="0.3">
      <c r="A523" s="1">
        <v>42762</v>
      </c>
      <c r="B523" s="2">
        <v>24.280000999999999</v>
      </c>
      <c r="C523" s="2">
        <v>24.5</v>
      </c>
      <c r="D523" s="2">
        <v>23.959999</v>
      </c>
      <c r="E523" s="2">
        <v>24.309999000000001</v>
      </c>
      <c r="F523" s="3">
        <v>19.769714</v>
      </c>
      <c r="G523" s="4">
        <v>2669400</v>
      </c>
      <c r="H523">
        <f t="shared" si="8"/>
        <v>3.7090503559422281E-3</v>
      </c>
    </row>
    <row r="524" spans="1:8" x14ac:dyDescent="0.3">
      <c r="A524" s="1">
        <v>42765</v>
      </c>
      <c r="B524" s="2">
        <v>24.120000999999998</v>
      </c>
      <c r="C524" s="2">
        <v>24.23</v>
      </c>
      <c r="D524" s="2">
        <v>23.85</v>
      </c>
      <c r="E524" s="2">
        <v>24.18</v>
      </c>
      <c r="F524" s="3">
        <v>19.663996000000001</v>
      </c>
      <c r="G524" s="4">
        <v>1731300</v>
      </c>
      <c r="H524">
        <f t="shared" si="8"/>
        <v>-5.3619020060493051E-3</v>
      </c>
    </row>
    <row r="525" spans="1:8" x14ac:dyDescent="0.3">
      <c r="A525" s="1">
        <v>42766</v>
      </c>
      <c r="B525" s="2">
        <v>23.98</v>
      </c>
      <c r="C525" s="2">
        <v>24.540001</v>
      </c>
      <c r="D525" s="2">
        <v>23.860001</v>
      </c>
      <c r="E525" s="2">
        <v>24.49</v>
      </c>
      <c r="F525" s="3">
        <v>19.916096</v>
      </c>
      <c r="G525" s="4">
        <v>1596900</v>
      </c>
      <c r="H525">
        <f t="shared" si="8"/>
        <v>1.2739025777429712E-2</v>
      </c>
    </row>
    <row r="526" spans="1:8" x14ac:dyDescent="0.3">
      <c r="A526" s="1">
        <v>42767</v>
      </c>
      <c r="B526" s="2">
        <v>24.49</v>
      </c>
      <c r="C526" s="2">
        <v>24.639999</v>
      </c>
      <c r="D526" s="2">
        <v>24.08</v>
      </c>
      <c r="E526" s="2">
        <v>24.299999</v>
      </c>
      <c r="F526" s="3">
        <v>19.761581</v>
      </c>
      <c r="G526" s="4">
        <v>1752900</v>
      </c>
      <c r="H526">
        <f t="shared" si="8"/>
        <v>-7.7885617698377286E-3</v>
      </c>
    </row>
    <row r="527" spans="1:8" x14ac:dyDescent="0.3">
      <c r="A527" s="1">
        <v>42768</v>
      </c>
      <c r="B527" s="2">
        <v>24.389999</v>
      </c>
      <c r="C527" s="2">
        <v>24.58</v>
      </c>
      <c r="D527" s="2">
        <v>24.27</v>
      </c>
      <c r="E527" s="2">
        <v>24.379999000000002</v>
      </c>
      <c r="F527" s="3">
        <v>19.826637000000002</v>
      </c>
      <c r="G527" s="4">
        <v>1651800</v>
      </c>
      <c r="H527">
        <f t="shared" si="8"/>
        <v>3.2867738416588969E-3</v>
      </c>
    </row>
    <row r="528" spans="1:8" x14ac:dyDescent="0.3">
      <c r="A528" s="1">
        <v>42769</v>
      </c>
      <c r="B528" s="2">
        <v>24.35</v>
      </c>
      <c r="C528" s="2">
        <v>24.9</v>
      </c>
      <c r="D528" s="2">
        <v>24.280000999999999</v>
      </c>
      <c r="E528" s="2">
        <v>24.74</v>
      </c>
      <c r="F528" s="3">
        <v>20.119406000000001</v>
      </c>
      <c r="G528" s="4">
        <v>2242700</v>
      </c>
      <c r="H528">
        <f t="shared" si="8"/>
        <v>1.4658283928444281E-2</v>
      </c>
    </row>
    <row r="529" spans="1:8" x14ac:dyDescent="0.3">
      <c r="A529" s="1">
        <v>42772</v>
      </c>
      <c r="B529" s="2">
        <v>24.74</v>
      </c>
      <c r="C529" s="2">
        <v>24.950001</v>
      </c>
      <c r="D529" s="2">
        <v>24.52</v>
      </c>
      <c r="E529" s="2">
        <v>24.68</v>
      </c>
      <c r="F529" s="3">
        <v>20.070613999999999</v>
      </c>
      <c r="G529" s="4">
        <v>1704600</v>
      </c>
      <c r="H529">
        <f t="shared" si="8"/>
        <v>-2.4281679271547329E-3</v>
      </c>
    </row>
    <row r="530" spans="1:8" x14ac:dyDescent="0.3">
      <c r="A530" s="1">
        <v>42773</v>
      </c>
      <c r="B530" s="2">
        <v>24.700001</v>
      </c>
      <c r="C530" s="2">
        <v>25</v>
      </c>
      <c r="D530" s="2">
        <v>24.51</v>
      </c>
      <c r="E530" s="2">
        <v>24.629999000000002</v>
      </c>
      <c r="F530" s="3">
        <v>20.029951000000001</v>
      </c>
      <c r="G530" s="4">
        <v>2179600</v>
      </c>
      <c r="H530">
        <f t="shared" si="8"/>
        <v>-2.0280275056345129E-3</v>
      </c>
    </row>
    <row r="531" spans="1:8" x14ac:dyDescent="0.3">
      <c r="A531" s="1">
        <v>42774</v>
      </c>
      <c r="B531" s="2">
        <v>24.59</v>
      </c>
      <c r="C531" s="2">
        <v>24.860001</v>
      </c>
      <c r="D531" s="2">
        <v>24.540001</v>
      </c>
      <c r="E531" s="2">
        <v>24.790001</v>
      </c>
      <c r="F531" s="3">
        <v>20.160070000000001</v>
      </c>
      <c r="G531" s="4">
        <v>1388400</v>
      </c>
      <c r="H531">
        <f t="shared" si="8"/>
        <v>6.4752148543920258E-3</v>
      </c>
    </row>
    <row r="532" spans="1:8" x14ac:dyDescent="0.3">
      <c r="A532" s="1">
        <v>42775</v>
      </c>
      <c r="B532" s="2">
        <v>24.790001</v>
      </c>
      <c r="C532" s="2">
        <v>25.4</v>
      </c>
      <c r="D532" s="2">
        <v>24.75</v>
      </c>
      <c r="E532" s="2">
        <v>25.389999</v>
      </c>
      <c r="F532" s="3">
        <v>20.648005999999999</v>
      </c>
      <c r="G532" s="4">
        <v>1488300</v>
      </c>
      <c r="H532">
        <f t="shared" si="8"/>
        <v>2.3914969945056774E-2</v>
      </c>
    </row>
    <row r="533" spans="1:8" x14ac:dyDescent="0.3">
      <c r="A533" s="1">
        <v>42776</v>
      </c>
      <c r="B533" s="2">
        <v>25.52</v>
      </c>
      <c r="C533" s="2">
        <v>25.75</v>
      </c>
      <c r="D533" s="2">
        <v>25.290001</v>
      </c>
      <c r="E533" s="2">
        <v>25.66</v>
      </c>
      <c r="F533" s="3">
        <v>20.86758</v>
      </c>
      <c r="G533" s="4">
        <v>1521000</v>
      </c>
      <c r="H533">
        <f t="shared" si="8"/>
        <v>1.0578002856488919E-2</v>
      </c>
    </row>
    <row r="534" spans="1:8" x14ac:dyDescent="0.3">
      <c r="A534" s="1">
        <v>42779</v>
      </c>
      <c r="B534" s="2">
        <v>25.75</v>
      </c>
      <c r="C534" s="2">
        <v>25.85</v>
      </c>
      <c r="D534" s="2">
        <v>25.299999</v>
      </c>
      <c r="E534" s="2">
        <v>25.370000999999998</v>
      </c>
      <c r="F534" s="3">
        <v>20.631744000000001</v>
      </c>
      <c r="G534" s="4">
        <v>1470800</v>
      </c>
      <c r="H534">
        <f t="shared" si="8"/>
        <v>-1.1365946159666939E-2</v>
      </c>
    </row>
    <row r="535" spans="1:8" x14ac:dyDescent="0.3">
      <c r="A535" s="1">
        <v>42780</v>
      </c>
      <c r="B535" s="2">
        <v>25.27</v>
      </c>
      <c r="C535" s="2">
        <v>25.870000999999998</v>
      </c>
      <c r="D535" s="2">
        <v>25.25</v>
      </c>
      <c r="E535" s="2">
        <v>25.74</v>
      </c>
      <c r="F535" s="3">
        <v>20.932644</v>
      </c>
      <c r="G535" s="4">
        <v>1542700</v>
      </c>
      <c r="H535">
        <f t="shared" si="8"/>
        <v>1.4478789140157046E-2</v>
      </c>
    </row>
    <row r="536" spans="1:8" x14ac:dyDescent="0.3">
      <c r="A536" s="1">
        <v>42781</v>
      </c>
      <c r="B536" s="2">
        <v>25.75</v>
      </c>
      <c r="C536" s="2">
        <v>26.08</v>
      </c>
      <c r="D536" s="2">
        <v>25.540001</v>
      </c>
      <c r="E536" s="2">
        <v>25.780000999999999</v>
      </c>
      <c r="F536" s="3">
        <v>20.965167999999998</v>
      </c>
      <c r="G536" s="4">
        <v>2146700</v>
      </c>
      <c r="H536">
        <f t="shared" si="8"/>
        <v>1.5528341328194628E-3</v>
      </c>
    </row>
    <row r="537" spans="1:8" x14ac:dyDescent="0.3">
      <c r="A537" s="1">
        <v>42782</v>
      </c>
      <c r="B537" s="2">
        <v>25.700001</v>
      </c>
      <c r="C537" s="2">
        <v>25.879999000000002</v>
      </c>
      <c r="D537" s="2">
        <v>25.299999</v>
      </c>
      <c r="E537" s="2">
        <v>25.42</v>
      </c>
      <c r="F537" s="3">
        <v>20.672402999999999</v>
      </c>
      <c r="G537" s="4">
        <v>1795800</v>
      </c>
      <c r="H537">
        <f t="shared" si="8"/>
        <v>-1.4062770539491927E-2</v>
      </c>
    </row>
    <row r="538" spans="1:8" x14ac:dyDescent="0.3">
      <c r="A538" s="1">
        <v>42783</v>
      </c>
      <c r="B538" s="2">
        <v>25.370000999999998</v>
      </c>
      <c r="C538" s="2">
        <v>25.610001</v>
      </c>
      <c r="D538" s="2">
        <v>25.290001</v>
      </c>
      <c r="E538" s="2">
        <v>25.57</v>
      </c>
      <c r="F538" s="3">
        <v>20.794391999999998</v>
      </c>
      <c r="G538" s="4">
        <v>1241700</v>
      </c>
      <c r="H538">
        <f t="shared" si="8"/>
        <v>5.8835235417872226E-3</v>
      </c>
    </row>
    <row r="539" spans="1:8" x14ac:dyDescent="0.3">
      <c r="A539" s="1">
        <v>42787</v>
      </c>
      <c r="B539" s="2">
        <v>25.84</v>
      </c>
      <c r="C539" s="2">
        <v>26.25</v>
      </c>
      <c r="D539" s="2">
        <v>25.75</v>
      </c>
      <c r="E539" s="2">
        <v>26.219999000000001</v>
      </c>
      <c r="F539" s="3">
        <v>21.322991999999999</v>
      </c>
      <c r="G539" s="4">
        <v>2720300</v>
      </c>
      <c r="H539">
        <f t="shared" si="8"/>
        <v>2.5102650893632436E-2</v>
      </c>
    </row>
    <row r="540" spans="1:8" x14ac:dyDescent="0.3">
      <c r="A540" s="1">
        <v>42788</v>
      </c>
      <c r="B540" s="2">
        <v>26.200001</v>
      </c>
      <c r="C540" s="2">
        <v>26.299999</v>
      </c>
      <c r="D540" s="2">
        <v>26.02</v>
      </c>
      <c r="E540" s="2">
        <v>26.26</v>
      </c>
      <c r="F540" s="3">
        <v>21.355523999999999</v>
      </c>
      <c r="G540" s="4">
        <v>1377700</v>
      </c>
      <c r="H540">
        <f t="shared" si="8"/>
        <v>1.5244286779223658E-3</v>
      </c>
    </row>
    <row r="541" spans="1:8" x14ac:dyDescent="0.3">
      <c r="A541" s="1">
        <v>42789</v>
      </c>
      <c r="B541" s="2">
        <v>26.32</v>
      </c>
      <c r="C541" s="2">
        <v>26.34</v>
      </c>
      <c r="D541" s="2">
        <v>25.52</v>
      </c>
      <c r="E541" s="2">
        <v>25.559999000000001</v>
      </c>
      <c r="F541" s="3">
        <v>20.786259000000001</v>
      </c>
      <c r="G541" s="4">
        <v>2462200</v>
      </c>
      <c r="H541">
        <f t="shared" si="8"/>
        <v>-2.7018278488947535E-2</v>
      </c>
    </row>
    <row r="542" spans="1:8" x14ac:dyDescent="0.3">
      <c r="A542" s="1">
        <v>42790</v>
      </c>
      <c r="B542" s="2">
        <v>25.549999</v>
      </c>
      <c r="C542" s="2">
        <v>26.5</v>
      </c>
      <c r="D542" s="2">
        <v>25.450001</v>
      </c>
      <c r="E542" s="2">
        <v>26.280000999999999</v>
      </c>
      <c r="F542" s="3">
        <v>21.371786</v>
      </c>
      <c r="G542" s="4">
        <v>1991700</v>
      </c>
      <c r="H542">
        <f t="shared" si="8"/>
        <v>2.7779641282456649E-2</v>
      </c>
    </row>
    <row r="543" spans="1:8" x14ac:dyDescent="0.3">
      <c r="A543" s="1">
        <v>42793</v>
      </c>
      <c r="B543" s="2">
        <v>26.209999</v>
      </c>
      <c r="C543" s="2">
        <v>26.68</v>
      </c>
      <c r="D543" s="2">
        <v>25.68</v>
      </c>
      <c r="E543" s="2">
        <v>26.52</v>
      </c>
      <c r="F543" s="3">
        <v>21.566963000000001</v>
      </c>
      <c r="G543" s="4">
        <v>2301300</v>
      </c>
      <c r="H543">
        <f t="shared" si="8"/>
        <v>9.0909336495023831E-3</v>
      </c>
    </row>
    <row r="544" spans="1:8" x14ac:dyDescent="0.3">
      <c r="A544" s="1">
        <v>42794</v>
      </c>
      <c r="B544" s="2">
        <v>26.33</v>
      </c>
      <c r="C544" s="2">
        <v>26.33</v>
      </c>
      <c r="D544" s="2">
        <v>23.57</v>
      </c>
      <c r="E544" s="2">
        <v>24.440000999999999</v>
      </c>
      <c r="F544" s="3">
        <v>19.875437000000002</v>
      </c>
      <c r="G544" s="4">
        <v>7757900</v>
      </c>
      <c r="H544">
        <f t="shared" si="8"/>
        <v>-8.1677990097737796E-2</v>
      </c>
    </row>
    <row r="545" spans="1:8" x14ac:dyDescent="0.3">
      <c r="A545" s="1">
        <v>42795</v>
      </c>
      <c r="B545" s="2">
        <v>24.57</v>
      </c>
      <c r="C545" s="2">
        <v>24.93</v>
      </c>
      <c r="D545" s="2">
        <v>24.280000999999999</v>
      </c>
      <c r="E545" s="2">
        <v>24.48</v>
      </c>
      <c r="F545" s="3">
        <v>19.907965000000001</v>
      </c>
      <c r="G545" s="4">
        <v>3341500</v>
      </c>
      <c r="H545">
        <f t="shared" si="8"/>
        <v>1.635282424201454E-3</v>
      </c>
    </row>
    <row r="546" spans="1:8" x14ac:dyDescent="0.3">
      <c r="A546" s="1">
        <v>42796</v>
      </c>
      <c r="B546" s="2">
        <v>24.469999000000001</v>
      </c>
      <c r="C546" s="2">
        <v>25.1</v>
      </c>
      <c r="D546" s="2">
        <v>24.450001</v>
      </c>
      <c r="E546" s="2">
        <v>24.98</v>
      </c>
      <c r="F546" s="3">
        <v>20.314582999999999</v>
      </c>
      <c r="G546" s="4">
        <v>2475400</v>
      </c>
      <c r="H546">
        <f t="shared" si="8"/>
        <v>2.0219047053306214E-2</v>
      </c>
    </row>
    <row r="547" spans="1:8" x14ac:dyDescent="0.3">
      <c r="A547" s="1">
        <v>42797</v>
      </c>
      <c r="B547" s="2">
        <v>25.059999000000001</v>
      </c>
      <c r="C547" s="2">
        <v>25.32</v>
      </c>
      <c r="D547" s="2">
        <v>25.01</v>
      </c>
      <c r="E547" s="2">
        <v>25.280000999999999</v>
      </c>
      <c r="F547" s="3">
        <v>20.55855</v>
      </c>
      <c r="G547" s="4">
        <v>1827900</v>
      </c>
      <c r="H547">
        <f t="shared" si="8"/>
        <v>1.1938104138186127E-2</v>
      </c>
    </row>
    <row r="548" spans="1:8" x14ac:dyDescent="0.3">
      <c r="A548" s="1">
        <v>42800</v>
      </c>
      <c r="B548" s="2">
        <v>25.280000999999999</v>
      </c>
      <c r="C548" s="2">
        <v>25.299999</v>
      </c>
      <c r="D548" s="2">
        <v>24.709999</v>
      </c>
      <c r="E548" s="2">
        <v>24.91</v>
      </c>
      <c r="F548" s="3">
        <v>20.257653999999999</v>
      </c>
      <c r="G548" s="4">
        <v>2275600</v>
      </c>
      <c r="H548">
        <f t="shared" si="8"/>
        <v>-1.4744279561528817E-2</v>
      </c>
    </row>
    <row r="549" spans="1:8" x14ac:dyDescent="0.3">
      <c r="A549" s="1">
        <v>42801</v>
      </c>
      <c r="B549" s="2">
        <v>24.790001</v>
      </c>
      <c r="C549" s="2">
        <v>24.870000999999998</v>
      </c>
      <c r="D549" s="2">
        <v>24.42</v>
      </c>
      <c r="E549" s="2">
        <v>24.67</v>
      </c>
      <c r="F549" s="3">
        <v>20.062479</v>
      </c>
      <c r="G549" s="4">
        <v>2314600</v>
      </c>
      <c r="H549">
        <f t="shared" si="8"/>
        <v>-9.6813987328236394E-3</v>
      </c>
    </row>
    <row r="550" spans="1:8" x14ac:dyDescent="0.3">
      <c r="A550" s="1">
        <v>42802</v>
      </c>
      <c r="B550" s="2">
        <v>24.75</v>
      </c>
      <c r="C550" s="2">
        <v>25.17</v>
      </c>
      <c r="D550" s="2">
        <v>24.610001</v>
      </c>
      <c r="E550" s="2">
        <v>25</v>
      </c>
      <c r="F550" s="3">
        <v>20.330845</v>
      </c>
      <c r="G550" s="4">
        <v>2380400</v>
      </c>
      <c r="H550">
        <f t="shared" si="8"/>
        <v>1.3287894326935371E-2</v>
      </c>
    </row>
    <row r="551" spans="1:8" x14ac:dyDescent="0.3">
      <c r="A551" s="1">
        <v>42803</v>
      </c>
      <c r="B551" s="2">
        <v>25</v>
      </c>
      <c r="C551" s="2">
        <v>25.24</v>
      </c>
      <c r="D551" s="2">
        <v>24.82</v>
      </c>
      <c r="E551" s="2">
        <v>25</v>
      </c>
      <c r="F551" s="3">
        <v>20.330845</v>
      </c>
      <c r="G551" s="4">
        <v>2398700</v>
      </c>
      <c r="H551">
        <f t="shared" si="8"/>
        <v>0</v>
      </c>
    </row>
    <row r="552" spans="1:8" x14ac:dyDescent="0.3">
      <c r="A552" s="1">
        <v>42804</v>
      </c>
      <c r="B552" s="2">
        <v>24.700001</v>
      </c>
      <c r="C552" s="2">
        <v>25.299999</v>
      </c>
      <c r="D552" s="2">
        <v>24.629999000000002</v>
      </c>
      <c r="E552" s="2">
        <v>25.18</v>
      </c>
      <c r="F552" s="3">
        <v>20.793286999999999</v>
      </c>
      <c r="G552" s="4">
        <v>3049400</v>
      </c>
      <c r="H552">
        <f t="shared" si="8"/>
        <v>7.1742037480004529E-3</v>
      </c>
    </row>
    <row r="553" spans="1:8" x14ac:dyDescent="0.3">
      <c r="A553" s="1">
        <v>42807</v>
      </c>
      <c r="B553" s="2">
        <v>24.77</v>
      </c>
      <c r="C553" s="2">
        <v>24.799999</v>
      </c>
      <c r="D553" s="2">
        <v>24.110001</v>
      </c>
      <c r="E553" s="2">
        <v>24.190000999999999</v>
      </c>
      <c r="F553" s="3">
        <v>19.975760999999999</v>
      </c>
      <c r="G553" s="4">
        <v>3940100</v>
      </c>
      <c r="H553">
        <f t="shared" si="8"/>
        <v>-4.0110662654869712E-2</v>
      </c>
    </row>
    <row r="554" spans="1:8" x14ac:dyDescent="0.3">
      <c r="A554" s="1">
        <v>42808</v>
      </c>
      <c r="B554" s="2">
        <v>24.18</v>
      </c>
      <c r="C554" s="2">
        <v>24.639999</v>
      </c>
      <c r="D554" s="2">
        <v>24</v>
      </c>
      <c r="E554" s="2">
        <v>24.559999000000001</v>
      </c>
      <c r="F554" s="3">
        <v>20.281300000000002</v>
      </c>
      <c r="G554" s="4">
        <v>1849800</v>
      </c>
      <c r="H554">
        <f t="shared" si="8"/>
        <v>1.5179696600997215E-2</v>
      </c>
    </row>
    <row r="555" spans="1:8" x14ac:dyDescent="0.3">
      <c r="A555" s="1">
        <v>42809</v>
      </c>
      <c r="B555" s="2">
        <v>24.66</v>
      </c>
      <c r="C555" s="2">
        <v>24.780000999999999</v>
      </c>
      <c r="D555" s="2">
        <v>24.299999</v>
      </c>
      <c r="E555" s="2">
        <v>24.67</v>
      </c>
      <c r="F555" s="3">
        <v>20.372135</v>
      </c>
      <c r="G555" s="4">
        <v>2896500</v>
      </c>
      <c r="H555">
        <f t="shared" si="8"/>
        <v>4.4688679789369207E-3</v>
      </c>
    </row>
    <row r="556" spans="1:8" x14ac:dyDescent="0.3">
      <c r="A556" s="1">
        <v>42810</v>
      </c>
      <c r="B556" s="2">
        <v>24.59</v>
      </c>
      <c r="C556" s="2">
        <v>24.6</v>
      </c>
      <c r="D556" s="2">
        <v>24.040001</v>
      </c>
      <c r="E556" s="2">
        <v>24.26</v>
      </c>
      <c r="F556" s="3">
        <v>20.033566</v>
      </c>
      <c r="G556" s="4">
        <v>3133500</v>
      </c>
      <c r="H556">
        <f t="shared" si="8"/>
        <v>-1.6759027025361303E-2</v>
      </c>
    </row>
    <row r="557" spans="1:8" x14ac:dyDescent="0.3">
      <c r="A557" s="1">
        <v>42811</v>
      </c>
      <c r="B557" s="2">
        <v>24.290001</v>
      </c>
      <c r="C557" s="2">
        <v>24.67</v>
      </c>
      <c r="D557" s="2">
        <v>24.200001</v>
      </c>
      <c r="E557" s="2">
        <v>24.639999</v>
      </c>
      <c r="F557" s="3">
        <v>20.347363000000001</v>
      </c>
      <c r="G557" s="4">
        <v>5429100</v>
      </c>
      <c r="H557">
        <f t="shared" si="8"/>
        <v>1.5542194564998358E-2</v>
      </c>
    </row>
    <row r="558" spans="1:8" x14ac:dyDescent="0.3">
      <c r="A558" s="1">
        <v>42814</v>
      </c>
      <c r="B558" s="2">
        <v>24.66</v>
      </c>
      <c r="C558" s="2">
        <v>24.84</v>
      </c>
      <c r="D558" s="2">
        <v>23.76</v>
      </c>
      <c r="E558" s="2">
        <v>23.879999000000002</v>
      </c>
      <c r="F558" s="3">
        <v>19.719764999999999</v>
      </c>
      <c r="G558" s="4">
        <v>4116200</v>
      </c>
      <c r="H558">
        <f t="shared" si="8"/>
        <v>-3.1329851432549023E-2</v>
      </c>
    </row>
    <row r="559" spans="1:8" x14ac:dyDescent="0.3">
      <c r="A559" s="1">
        <v>42815</v>
      </c>
      <c r="B559" s="2">
        <v>24.030000999999999</v>
      </c>
      <c r="C559" s="2">
        <v>24.139999</v>
      </c>
      <c r="D559" s="2">
        <v>23.41</v>
      </c>
      <c r="E559" s="2">
        <v>24.01</v>
      </c>
      <c r="F559" s="3">
        <v>19.827117999999999</v>
      </c>
      <c r="G559" s="4">
        <v>2850500</v>
      </c>
      <c r="H559">
        <f t="shared" si="8"/>
        <v>5.4291635848083379E-3</v>
      </c>
    </row>
    <row r="560" spans="1:8" x14ac:dyDescent="0.3">
      <c r="A560" s="1">
        <v>42816</v>
      </c>
      <c r="B560" s="2">
        <v>24.02</v>
      </c>
      <c r="C560" s="2">
        <v>24.110001</v>
      </c>
      <c r="D560" s="2">
        <v>23.76</v>
      </c>
      <c r="E560" s="2">
        <v>24.09</v>
      </c>
      <c r="F560" s="3">
        <v>19.893180999999998</v>
      </c>
      <c r="G560" s="4">
        <v>2042000</v>
      </c>
      <c r="H560">
        <f t="shared" si="8"/>
        <v>3.3264063936180349E-3</v>
      </c>
    </row>
    <row r="561" spans="1:8" x14ac:dyDescent="0.3">
      <c r="A561" s="1">
        <v>42817</v>
      </c>
      <c r="B561" s="2">
        <v>24.15</v>
      </c>
      <c r="C561" s="2">
        <v>24.440000999999999</v>
      </c>
      <c r="D561" s="2">
        <v>23.799999</v>
      </c>
      <c r="E561" s="2">
        <v>23.959999</v>
      </c>
      <c r="F561" s="3">
        <v>19.785826</v>
      </c>
      <c r="G561" s="4">
        <v>4662200</v>
      </c>
      <c r="H561">
        <f t="shared" si="8"/>
        <v>-5.4110851157592975E-3</v>
      </c>
    </row>
    <row r="562" spans="1:8" x14ac:dyDescent="0.3">
      <c r="A562" s="1">
        <v>42818</v>
      </c>
      <c r="B562" s="2">
        <v>21.370000999999998</v>
      </c>
      <c r="C562" s="2">
        <v>21.559999000000001</v>
      </c>
      <c r="D562" s="2">
        <v>20.66</v>
      </c>
      <c r="E562" s="2">
        <v>20.700001</v>
      </c>
      <c r="F562" s="3">
        <v>17.093769000000002</v>
      </c>
      <c r="G562" s="4">
        <v>15944600</v>
      </c>
      <c r="H562">
        <f t="shared" si="8"/>
        <v>-0.14625198293051966</v>
      </c>
    </row>
    <row r="563" spans="1:8" x14ac:dyDescent="0.3">
      <c r="A563" s="1">
        <v>42821</v>
      </c>
      <c r="B563" s="2">
        <v>20.329999999999998</v>
      </c>
      <c r="C563" s="2">
        <v>21.09</v>
      </c>
      <c r="D563" s="2">
        <v>20.239999999999998</v>
      </c>
      <c r="E563" s="2">
        <v>20.85</v>
      </c>
      <c r="F563" s="3">
        <v>17.217634</v>
      </c>
      <c r="G563" s="4">
        <v>6962300</v>
      </c>
      <c r="H563">
        <f t="shared" si="8"/>
        <v>7.2201996643095684E-3</v>
      </c>
    </row>
    <row r="564" spans="1:8" x14ac:dyDescent="0.3">
      <c r="A564" s="1">
        <v>42822</v>
      </c>
      <c r="B564" s="2">
        <v>20.879999000000002</v>
      </c>
      <c r="C564" s="2">
        <v>21.780000999999999</v>
      </c>
      <c r="D564" s="2">
        <v>20.73</v>
      </c>
      <c r="E564" s="2">
        <v>21.719999000000001</v>
      </c>
      <c r="F564" s="3">
        <v>17.936066</v>
      </c>
      <c r="G564" s="4">
        <v>4278600</v>
      </c>
      <c r="H564">
        <f t="shared" si="8"/>
        <v>4.0879500780407599E-2</v>
      </c>
    </row>
    <row r="565" spans="1:8" x14ac:dyDescent="0.3">
      <c r="A565" s="1">
        <v>42823</v>
      </c>
      <c r="B565" s="2">
        <v>21.780000999999999</v>
      </c>
      <c r="C565" s="2">
        <v>22.139999</v>
      </c>
      <c r="D565" s="2">
        <v>21.57</v>
      </c>
      <c r="E565" s="2">
        <v>21.950001</v>
      </c>
      <c r="F565" s="3">
        <v>18.125999</v>
      </c>
      <c r="G565" s="4">
        <v>3258300</v>
      </c>
      <c r="H565">
        <f t="shared" si="8"/>
        <v>1.0533736054047843E-2</v>
      </c>
    </row>
    <row r="566" spans="1:8" x14ac:dyDescent="0.3">
      <c r="A566" s="1">
        <v>42824</v>
      </c>
      <c r="B566" s="2">
        <v>21.9</v>
      </c>
      <c r="C566" s="2">
        <v>22.49</v>
      </c>
      <c r="D566" s="2">
        <v>21.860001</v>
      </c>
      <c r="E566" s="2">
        <v>22.459999</v>
      </c>
      <c r="F566" s="3">
        <v>18.547152000000001</v>
      </c>
      <c r="G566" s="4">
        <v>2222000</v>
      </c>
      <c r="H566">
        <f t="shared" si="8"/>
        <v>2.2968719707432632E-2</v>
      </c>
    </row>
    <row r="567" spans="1:8" x14ac:dyDescent="0.3">
      <c r="A567" s="1">
        <v>42825</v>
      </c>
      <c r="B567" s="2">
        <v>22.459999</v>
      </c>
      <c r="C567" s="2">
        <v>22.74</v>
      </c>
      <c r="D567" s="2">
        <v>22.370000999999998</v>
      </c>
      <c r="E567" s="2">
        <v>22.549999</v>
      </c>
      <c r="F567" s="3">
        <v>18.621471</v>
      </c>
      <c r="G567" s="4">
        <v>2934200</v>
      </c>
      <c r="H567">
        <f t="shared" si="8"/>
        <v>3.999116816089803E-3</v>
      </c>
    </row>
    <row r="568" spans="1:8" x14ac:dyDescent="0.3">
      <c r="A568" s="1">
        <v>42828</v>
      </c>
      <c r="B568" s="2">
        <v>22.52</v>
      </c>
      <c r="C568" s="2">
        <v>22.620000999999998</v>
      </c>
      <c r="D568" s="2">
        <v>21.92</v>
      </c>
      <c r="E568" s="2">
        <v>22</v>
      </c>
      <c r="F568" s="3">
        <v>18.167290000000001</v>
      </c>
      <c r="G568" s="4">
        <v>2709100</v>
      </c>
      <c r="H568">
        <f t="shared" si="8"/>
        <v>-2.4692568244472485E-2</v>
      </c>
    </row>
    <row r="569" spans="1:8" x14ac:dyDescent="0.3">
      <c r="A569" s="1">
        <v>42829</v>
      </c>
      <c r="B569" s="2">
        <v>21.940000999999999</v>
      </c>
      <c r="C569" s="2">
        <v>22.209999</v>
      </c>
      <c r="D569" s="2">
        <v>21.74</v>
      </c>
      <c r="E569" s="2">
        <v>21.98</v>
      </c>
      <c r="F569" s="3">
        <v>18.150772</v>
      </c>
      <c r="G569" s="4">
        <v>2237000</v>
      </c>
      <c r="H569">
        <f t="shared" si="8"/>
        <v>-9.0950438284049986E-4</v>
      </c>
    </row>
    <row r="570" spans="1:8" x14ac:dyDescent="0.3">
      <c r="A570" s="1">
        <v>42830</v>
      </c>
      <c r="B570" s="2">
        <v>22.190000999999999</v>
      </c>
      <c r="C570" s="2">
        <v>22.290001</v>
      </c>
      <c r="D570" s="2">
        <v>21.74</v>
      </c>
      <c r="E570" s="2">
        <v>21.76</v>
      </c>
      <c r="F570" s="3">
        <v>17.969100999999998</v>
      </c>
      <c r="G570" s="4">
        <v>2168900</v>
      </c>
      <c r="H570">
        <f t="shared" si="8"/>
        <v>-1.0059526987733344E-2</v>
      </c>
    </row>
    <row r="571" spans="1:8" x14ac:dyDescent="0.3">
      <c r="A571" s="1">
        <v>42831</v>
      </c>
      <c r="B571" s="2">
        <v>21.959999</v>
      </c>
      <c r="C571" s="2">
        <v>22.17</v>
      </c>
      <c r="D571" s="2">
        <v>21.74</v>
      </c>
      <c r="E571" s="2">
        <v>21.84</v>
      </c>
      <c r="F571" s="3">
        <v>18.035164000000002</v>
      </c>
      <c r="G571" s="4">
        <v>3296200</v>
      </c>
      <c r="H571">
        <f t="shared" si="8"/>
        <v>3.6697288889624017E-3</v>
      </c>
    </row>
    <row r="572" spans="1:8" x14ac:dyDescent="0.3">
      <c r="A572" s="1">
        <v>42832</v>
      </c>
      <c r="B572" s="2">
        <v>21.82</v>
      </c>
      <c r="C572" s="2">
        <v>22.02</v>
      </c>
      <c r="D572" s="2">
        <v>21.58</v>
      </c>
      <c r="E572" s="2">
        <v>21.66</v>
      </c>
      <c r="F572" s="3">
        <v>17.886520000000001</v>
      </c>
      <c r="G572" s="4">
        <v>3754500</v>
      </c>
      <c r="H572">
        <f t="shared" si="8"/>
        <v>-8.2759093038597097E-3</v>
      </c>
    </row>
    <row r="573" spans="1:8" x14ac:dyDescent="0.3">
      <c r="A573" s="1">
        <v>42835</v>
      </c>
      <c r="B573" s="2">
        <v>21.6</v>
      </c>
      <c r="C573" s="2">
        <v>22.120000999999998</v>
      </c>
      <c r="D573" s="2">
        <v>21.559999000000001</v>
      </c>
      <c r="E573" s="2">
        <v>21.879999000000002</v>
      </c>
      <c r="F573" s="3">
        <v>18.068193000000001</v>
      </c>
      <c r="G573" s="4">
        <v>2345300</v>
      </c>
      <c r="H573">
        <f t="shared" si="8"/>
        <v>1.0105690277095744E-2</v>
      </c>
    </row>
    <row r="574" spans="1:8" x14ac:dyDescent="0.3">
      <c r="A574" s="1">
        <v>42836</v>
      </c>
      <c r="B574" s="2">
        <v>21.799999</v>
      </c>
      <c r="C574" s="2">
        <v>22.15</v>
      </c>
      <c r="D574" s="2">
        <v>21.68</v>
      </c>
      <c r="E574" s="2">
        <v>22.110001</v>
      </c>
      <c r="F574" s="3">
        <v>18.258127000000002</v>
      </c>
      <c r="G574" s="4">
        <v>2718400</v>
      </c>
      <c r="H574">
        <f t="shared" si="8"/>
        <v>1.0457108247816985E-2</v>
      </c>
    </row>
    <row r="575" spans="1:8" x14ac:dyDescent="0.3">
      <c r="A575" s="1">
        <v>42837</v>
      </c>
      <c r="B575" s="2">
        <v>22.18</v>
      </c>
      <c r="C575" s="2">
        <v>22.18</v>
      </c>
      <c r="D575" s="2">
        <v>21.870000999999998</v>
      </c>
      <c r="E575" s="2">
        <v>22.07</v>
      </c>
      <c r="F575" s="3">
        <v>18.225090000000002</v>
      </c>
      <c r="G575" s="4">
        <v>1883100</v>
      </c>
      <c r="H575">
        <f t="shared" si="8"/>
        <v>-1.8108198291122775E-3</v>
      </c>
    </row>
    <row r="576" spans="1:8" x14ac:dyDescent="0.3">
      <c r="A576" s="1">
        <v>42838</v>
      </c>
      <c r="B576" s="2">
        <v>22.059999000000001</v>
      </c>
      <c r="C576" s="2">
        <v>22.440000999999999</v>
      </c>
      <c r="D576" s="2">
        <v>21.98</v>
      </c>
      <c r="E576" s="2">
        <v>22.379999000000002</v>
      </c>
      <c r="F576" s="3">
        <v>18.481086999999999</v>
      </c>
      <c r="G576" s="4">
        <v>3663600</v>
      </c>
      <c r="H576">
        <f t="shared" si="8"/>
        <v>1.3948437932380726E-2</v>
      </c>
    </row>
    <row r="577" spans="1:8" x14ac:dyDescent="0.3">
      <c r="A577" s="1">
        <v>42842</v>
      </c>
      <c r="B577" s="2">
        <v>22.450001</v>
      </c>
      <c r="C577" s="2">
        <v>22.950001</v>
      </c>
      <c r="D577" s="2">
        <v>22.4</v>
      </c>
      <c r="E577" s="2">
        <v>22.889999</v>
      </c>
      <c r="F577" s="3">
        <v>18.902237</v>
      </c>
      <c r="G577" s="4">
        <v>3554500</v>
      </c>
      <c r="H577">
        <f t="shared" si="8"/>
        <v>2.2532432076248915E-2</v>
      </c>
    </row>
    <row r="578" spans="1:8" x14ac:dyDescent="0.3">
      <c r="A578" s="1">
        <v>42843</v>
      </c>
      <c r="B578" s="2">
        <v>22.84</v>
      </c>
      <c r="C578" s="2">
        <v>22.98</v>
      </c>
      <c r="D578" s="2">
        <v>22.610001</v>
      </c>
      <c r="E578" s="2">
        <v>22.84</v>
      </c>
      <c r="F578" s="3">
        <v>18.860949000000002</v>
      </c>
      <c r="G578" s="4">
        <v>1986300</v>
      </c>
      <c r="H578">
        <f t="shared" si="8"/>
        <v>-2.1867054894652376E-3</v>
      </c>
    </row>
    <row r="579" spans="1:8" x14ac:dyDescent="0.3">
      <c r="A579" s="1">
        <v>42844</v>
      </c>
      <c r="B579" s="2">
        <v>22.92</v>
      </c>
      <c r="C579" s="2">
        <v>23.129999000000002</v>
      </c>
      <c r="D579" s="2">
        <v>22.76</v>
      </c>
      <c r="E579" s="2">
        <v>22.780000999999999</v>
      </c>
      <c r="F579" s="3">
        <v>18.811401</v>
      </c>
      <c r="G579" s="4">
        <v>1680500</v>
      </c>
      <c r="H579">
        <f t="shared" si="8"/>
        <v>-2.6303828706180908E-3</v>
      </c>
    </row>
    <row r="580" spans="1:8" x14ac:dyDescent="0.3">
      <c r="A580" s="1">
        <v>42845</v>
      </c>
      <c r="B580" s="2">
        <v>22.950001</v>
      </c>
      <c r="C580" s="2">
        <v>23.43</v>
      </c>
      <c r="D580" s="2">
        <v>22.950001</v>
      </c>
      <c r="E580" s="2">
        <v>23.190000999999999</v>
      </c>
      <c r="F580" s="3">
        <v>19.149972999999999</v>
      </c>
      <c r="G580" s="4">
        <v>1906600</v>
      </c>
      <c r="H580">
        <f t="shared" ref="H580:H643" si="9">LN(E580/E579)</f>
        <v>1.7838192472283292E-2</v>
      </c>
    </row>
    <row r="581" spans="1:8" x14ac:dyDescent="0.3">
      <c r="A581" s="1">
        <v>42846</v>
      </c>
      <c r="B581" s="2">
        <v>23.24</v>
      </c>
      <c r="C581" s="2">
        <v>23.27</v>
      </c>
      <c r="D581" s="2">
        <v>22.940000999999999</v>
      </c>
      <c r="E581" s="2">
        <v>23.190000999999999</v>
      </c>
      <c r="F581" s="3">
        <v>19.149972999999999</v>
      </c>
      <c r="G581" s="4">
        <v>1766200</v>
      </c>
      <c r="H581">
        <f t="shared" si="9"/>
        <v>0</v>
      </c>
    </row>
    <row r="582" spans="1:8" x14ac:dyDescent="0.3">
      <c r="A582" s="1">
        <v>42849</v>
      </c>
      <c r="B582" s="2">
        <v>23.4</v>
      </c>
      <c r="C582" s="2">
        <v>23.49</v>
      </c>
      <c r="D582" s="2">
        <v>22.959999</v>
      </c>
      <c r="E582" s="2">
        <v>23.219999000000001</v>
      </c>
      <c r="F582" s="3">
        <v>19.174745999999999</v>
      </c>
      <c r="G582" s="4">
        <v>2716400</v>
      </c>
      <c r="H582">
        <f t="shared" si="9"/>
        <v>1.2927388139478207E-3</v>
      </c>
    </row>
    <row r="583" spans="1:8" x14ac:dyDescent="0.3">
      <c r="A583" s="1">
        <v>42850</v>
      </c>
      <c r="B583" s="2">
        <v>23.32</v>
      </c>
      <c r="C583" s="2">
        <v>23.49</v>
      </c>
      <c r="D583" s="2">
        <v>23.1</v>
      </c>
      <c r="E583" s="2">
        <v>23.4</v>
      </c>
      <c r="F583" s="3">
        <v>19.323387</v>
      </c>
      <c r="G583" s="4">
        <v>1441700</v>
      </c>
      <c r="H583">
        <f t="shared" si="9"/>
        <v>7.7220891602331554E-3</v>
      </c>
    </row>
    <row r="584" spans="1:8" x14ac:dyDescent="0.3">
      <c r="A584" s="1">
        <v>42851</v>
      </c>
      <c r="B584" s="2">
        <v>23.42</v>
      </c>
      <c r="C584" s="2">
        <v>23.98</v>
      </c>
      <c r="D584" s="2">
        <v>23.309999000000001</v>
      </c>
      <c r="E584" s="2">
        <v>23.65</v>
      </c>
      <c r="F584" s="3">
        <v>19.529834999999999</v>
      </c>
      <c r="G584" s="4">
        <v>2211600</v>
      </c>
      <c r="H584">
        <f t="shared" si="9"/>
        <v>1.0627092574286193E-2</v>
      </c>
    </row>
    <row r="585" spans="1:8" x14ac:dyDescent="0.3">
      <c r="A585" s="1">
        <v>42852</v>
      </c>
      <c r="B585" s="2">
        <v>23.67</v>
      </c>
      <c r="C585" s="2">
        <v>23.709999</v>
      </c>
      <c r="D585" s="2">
        <v>23.040001</v>
      </c>
      <c r="E585" s="2">
        <v>23.1</v>
      </c>
      <c r="F585" s="3">
        <v>19.075652999999999</v>
      </c>
      <c r="G585" s="4">
        <v>2970300</v>
      </c>
      <c r="H585">
        <f t="shared" si="9"/>
        <v>-2.3530497410194046E-2</v>
      </c>
    </row>
    <row r="586" spans="1:8" x14ac:dyDescent="0.3">
      <c r="A586" s="1">
        <v>42853</v>
      </c>
      <c r="B586" s="2">
        <v>23.09</v>
      </c>
      <c r="C586" s="2">
        <v>23.09</v>
      </c>
      <c r="D586" s="2">
        <v>22.469999000000001</v>
      </c>
      <c r="E586" s="2">
        <v>22.690000999999999</v>
      </c>
      <c r="F586" s="3">
        <v>18.737082000000001</v>
      </c>
      <c r="G586" s="4">
        <v>3104300</v>
      </c>
      <c r="H586">
        <f t="shared" si="9"/>
        <v>-1.7908274663719994E-2</v>
      </c>
    </row>
    <row r="587" spans="1:8" x14ac:dyDescent="0.3">
      <c r="A587" s="1">
        <v>42856</v>
      </c>
      <c r="B587" s="2">
        <v>22.77</v>
      </c>
      <c r="C587" s="2">
        <v>23.24</v>
      </c>
      <c r="D587" s="2">
        <v>22.559999000000001</v>
      </c>
      <c r="E587" s="2">
        <v>22.780000999999999</v>
      </c>
      <c r="F587" s="3">
        <v>18.811401</v>
      </c>
      <c r="G587" s="4">
        <v>2744800</v>
      </c>
      <c r="H587">
        <f t="shared" si="9"/>
        <v>3.9586590531634925E-3</v>
      </c>
    </row>
    <row r="588" spans="1:8" x14ac:dyDescent="0.3">
      <c r="A588" s="1">
        <v>42857</v>
      </c>
      <c r="B588" s="2">
        <v>22.83</v>
      </c>
      <c r="C588" s="2">
        <v>23.549999</v>
      </c>
      <c r="D588" s="2">
        <v>22.74</v>
      </c>
      <c r="E588" s="2">
        <v>23.440000999999999</v>
      </c>
      <c r="F588" s="3">
        <v>19.356421000000001</v>
      </c>
      <c r="G588" s="4">
        <v>1788200</v>
      </c>
      <c r="H588">
        <f t="shared" si="9"/>
        <v>2.8561005453735504E-2</v>
      </c>
    </row>
    <row r="589" spans="1:8" x14ac:dyDescent="0.3">
      <c r="A589" s="1">
        <v>42858</v>
      </c>
      <c r="B589" s="2">
        <v>23.459999</v>
      </c>
      <c r="C589" s="2">
        <v>24</v>
      </c>
      <c r="D589" s="2">
        <v>23.379999000000002</v>
      </c>
      <c r="E589" s="2">
        <v>23.969999000000001</v>
      </c>
      <c r="F589" s="3">
        <v>19.794083000000001</v>
      </c>
      <c r="G589" s="4">
        <v>3127300</v>
      </c>
      <c r="H589">
        <f t="shared" si="9"/>
        <v>2.2358999356550065E-2</v>
      </c>
    </row>
    <row r="590" spans="1:8" x14ac:dyDescent="0.3">
      <c r="A590" s="1">
        <v>42859</v>
      </c>
      <c r="B590" s="2">
        <v>23.98</v>
      </c>
      <c r="C590" s="2">
        <v>24.139999</v>
      </c>
      <c r="D590" s="2">
        <v>23.530000999999999</v>
      </c>
      <c r="E590" s="2">
        <v>23.57</v>
      </c>
      <c r="F590" s="3">
        <v>19.463771999999999</v>
      </c>
      <c r="G590" s="4">
        <v>1464000</v>
      </c>
      <c r="H590">
        <f t="shared" si="9"/>
        <v>-1.6828289779437205E-2</v>
      </c>
    </row>
    <row r="591" spans="1:8" x14ac:dyDescent="0.3">
      <c r="A591" s="1">
        <v>42860</v>
      </c>
      <c r="B591" s="2">
        <v>23.700001</v>
      </c>
      <c r="C591" s="2">
        <v>24.01</v>
      </c>
      <c r="D591" s="2">
        <v>23.58</v>
      </c>
      <c r="E591" s="2">
        <v>24</v>
      </c>
      <c r="F591" s="3">
        <v>19.818860999999998</v>
      </c>
      <c r="G591" s="4">
        <v>1170600</v>
      </c>
      <c r="H591">
        <f t="shared" si="9"/>
        <v>1.8079113399905793E-2</v>
      </c>
    </row>
    <row r="592" spans="1:8" x14ac:dyDescent="0.3">
      <c r="A592" s="1">
        <v>42863</v>
      </c>
      <c r="B592" s="2">
        <v>24</v>
      </c>
      <c r="C592" s="2">
        <v>24.469999000000001</v>
      </c>
      <c r="D592" s="2">
        <v>23.84</v>
      </c>
      <c r="E592" s="2">
        <v>24.379999000000002</v>
      </c>
      <c r="F592" s="3">
        <v>20.132656000000001</v>
      </c>
      <c r="G592" s="4">
        <v>2215700</v>
      </c>
      <c r="H592">
        <f t="shared" si="9"/>
        <v>1.5709252687951907E-2</v>
      </c>
    </row>
    <row r="593" spans="1:8" x14ac:dyDescent="0.3">
      <c r="A593" s="1">
        <v>42864</v>
      </c>
      <c r="B593" s="2">
        <v>24.33</v>
      </c>
      <c r="C593" s="2">
        <v>24.74</v>
      </c>
      <c r="D593" s="2">
        <v>24.09</v>
      </c>
      <c r="E593" s="2">
        <v>24.49</v>
      </c>
      <c r="F593" s="3">
        <v>20.223493999999999</v>
      </c>
      <c r="G593" s="4">
        <v>1950000</v>
      </c>
      <c r="H593">
        <f t="shared" si="9"/>
        <v>4.5017879281788143E-3</v>
      </c>
    </row>
    <row r="594" spans="1:8" x14ac:dyDescent="0.3">
      <c r="A594" s="1">
        <v>42865</v>
      </c>
      <c r="B594" s="2">
        <v>24.540001</v>
      </c>
      <c r="C594" s="2">
        <v>25.129999000000002</v>
      </c>
      <c r="D594" s="2">
        <v>24.440000999999999</v>
      </c>
      <c r="E594" s="2">
        <v>24.950001</v>
      </c>
      <c r="F594" s="3">
        <v>20.603356999999999</v>
      </c>
      <c r="G594" s="4">
        <v>2409300</v>
      </c>
      <c r="H594">
        <f t="shared" si="9"/>
        <v>1.8608991313610837E-2</v>
      </c>
    </row>
    <row r="595" spans="1:8" x14ac:dyDescent="0.3">
      <c r="A595" s="1">
        <v>42866</v>
      </c>
      <c r="B595" s="2">
        <v>25.110001</v>
      </c>
      <c r="C595" s="2">
        <v>25.309999000000001</v>
      </c>
      <c r="D595" s="2">
        <v>24.24</v>
      </c>
      <c r="E595" s="2">
        <v>24.35</v>
      </c>
      <c r="F595" s="3">
        <v>20.107885</v>
      </c>
      <c r="G595" s="4">
        <v>3047700</v>
      </c>
      <c r="H595">
        <f t="shared" si="9"/>
        <v>-2.4342012749088295E-2</v>
      </c>
    </row>
    <row r="596" spans="1:8" x14ac:dyDescent="0.3">
      <c r="A596" s="1">
        <v>42867</v>
      </c>
      <c r="B596" s="2">
        <v>24.280000999999999</v>
      </c>
      <c r="C596" s="2">
        <v>24.35</v>
      </c>
      <c r="D596" s="2">
        <v>23.780000999999999</v>
      </c>
      <c r="E596" s="2">
        <v>24.030000999999999</v>
      </c>
      <c r="F596" s="3">
        <v>19.843634000000002</v>
      </c>
      <c r="G596" s="4">
        <v>1820300</v>
      </c>
      <c r="H596">
        <f t="shared" si="9"/>
        <v>-1.3228758165573841E-2</v>
      </c>
    </row>
    <row r="597" spans="1:8" x14ac:dyDescent="0.3">
      <c r="A597" s="1">
        <v>42870</v>
      </c>
      <c r="B597" s="2">
        <v>24.139999</v>
      </c>
      <c r="C597" s="2">
        <v>24.68</v>
      </c>
      <c r="D597" s="2">
        <v>24.1</v>
      </c>
      <c r="E597" s="2">
        <v>24.360001</v>
      </c>
      <c r="F597" s="3">
        <v>20.116146000000001</v>
      </c>
      <c r="G597" s="4">
        <v>2139400</v>
      </c>
      <c r="H597">
        <f t="shared" si="9"/>
        <v>1.3639392529573503E-2</v>
      </c>
    </row>
    <row r="598" spans="1:8" x14ac:dyDescent="0.3">
      <c r="A598" s="1">
        <v>42871</v>
      </c>
      <c r="B598" s="2">
        <v>24.33</v>
      </c>
      <c r="C598" s="2">
        <v>24.51</v>
      </c>
      <c r="D598" s="2">
        <v>23.9</v>
      </c>
      <c r="E598" s="2">
        <v>24.469999000000001</v>
      </c>
      <c r="F598" s="3">
        <v>20.206980000000001</v>
      </c>
      <c r="G598" s="4">
        <v>2034700</v>
      </c>
      <c r="H598">
        <f t="shared" si="9"/>
        <v>4.5053526956140549E-3</v>
      </c>
    </row>
    <row r="599" spans="1:8" x14ac:dyDescent="0.3">
      <c r="A599" s="1">
        <v>42872</v>
      </c>
      <c r="B599" s="2">
        <v>24.469999000000001</v>
      </c>
      <c r="C599" s="2">
        <v>24.469999000000001</v>
      </c>
      <c r="D599" s="2">
        <v>23.75</v>
      </c>
      <c r="E599" s="2">
        <v>23.84</v>
      </c>
      <c r="F599" s="3">
        <v>19.686734999999999</v>
      </c>
      <c r="G599" s="4">
        <v>2207700</v>
      </c>
      <c r="H599">
        <f t="shared" si="9"/>
        <v>-2.6082994391063572E-2</v>
      </c>
    </row>
    <row r="600" spans="1:8" x14ac:dyDescent="0.3">
      <c r="A600" s="1">
        <v>42873</v>
      </c>
      <c r="B600" s="2">
        <v>23.940000999999999</v>
      </c>
      <c r="C600" s="2">
        <v>24.049999</v>
      </c>
      <c r="D600" s="2">
        <v>23.52</v>
      </c>
      <c r="E600" s="2">
        <v>23.780000999999999</v>
      </c>
      <c r="F600" s="3">
        <v>19.637187999999998</v>
      </c>
      <c r="G600" s="4">
        <v>1748200</v>
      </c>
      <c r="H600">
        <f t="shared" si="9"/>
        <v>-2.5199088823694661E-3</v>
      </c>
    </row>
    <row r="601" spans="1:8" x14ac:dyDescent="0.3">
      <c r="A601" s="1">
        <v>42874</v>
      </c>
      <c r="B601" s="2">
        <v>23.799999</v>
      </c>
      <c r="C601" s="2">
        <v>24.309999000000001</v>
      </c>
      <c r="D601" s="2">
        <v>23.58</v>
      </c>
      <c r="E601" s="2">
        <v>24.219999000000001</v>
      </c>
      <c r="F601" s="3">
        <v>20.000530000000001</v>
      </c>
      <c r="G601" s="4">
        <v>2669600</v>
      </c>
      <c r="H601">
        <f t="shared" si="9"/>
        <v>1.833376352197431E-2</v>
      </c>
    </row>
    <row r="602" spans="1:8" x14ac:dyDescent="0.3">
      <c r="A602" s="1">
        <v>42877</v>
      </c>
      <c r="B602" s="2">
        <v>24.35</v>
      </c>
      <c r="C602" s="2">
        <v>24.6</v>
      </c>
      <c r="D602" s="2">
        <v>24.040001</v>
      </c>
      <c r="E602" s="2">
        <v>24.049999</v>
      </c>
      <c r="F602" s="3">
        <v>19.860149</v>
      </c>
      <c r="G602" s="4">
        <v>2455900</v>
      </c>
      <c r="H602">
        <f t="shared" si="9"/>
        <v>-7.0437418650260483E-3</v>
      </c>
    </row>
    <row r="603" spans="1:8" x14ac:dyDescent="0.3">
      <c r="A603" s="1">
        <v>42878</v>
      </c>
      <c r="B603" s="2">
        <v>24.370000999999998</v>
      </c>
      <c r="C603" s="2">
        <v>24.370000999999998</v>
      </c>
      <c r="D603" s="2">
        <v>22.629999000000002</v>
      </c>
      <c r="E603" s="2">
        <v>22.66</v>
      </c>
      <c r="F603" s="3">
        <v>18.712306999999999</v>
      </c>
      <c r="G603" s="4">
        <v>5634800</v>
      </c>
      <c r="H603">
        <f t="shared" si="9"/>
        <v>-5.9533699371867421E-2</v>
      </c>
    </row>
    <row r="604" spans="1:8" x14ac:dyDescent="0.3">
      <c r="A604" s="1">
        <v>42879</v>
      </c>
      <c r="B604" s="2">
        <v>22.610001</v>
      </c>
      <c r="C604" s="2">
        <v>22.870000999999998</v>
      </c>
      <c r="D604" s="2">
        <v>22.43</v>
      </c>
      <c r="E604" s="2">
        <v>22.709999</v>
      </c>
      <c r="F604" s="3">
        <v>18.753596999999999</v>
      </c>
      <c r="G604" s="4">
        <v>2448100</v>
      </c>
      <c r="H604">
        <f t="shared" si="9"/>
        <v>2.204056484140527E-3</v>
      </c>
    </row>
    <row r="605" spans="1:8" x14ac:dyDescent="0.3">
      <c r="A605" s="1">
        <v>42880</v>
      </c>
      <c r="B605" s="2">
        <v>23.6</v>
      </c>
      <c r="C605" s="2">
        <v>23.67</v>
      </c>
      <c r="D605" s="2">
        <v>22.73</v>
      </c>
      <c r="E605" s="2">
        <v>23.620000999999998</v>
      </c>
      <c r="F605" s="3">
        <v>19.505061999999999</v>
      </c>
      <c r="G605" s="4">
        <v>7738500</v>
      </c>
      <c r="H605">
        <f t="shared" si="9"/>
        <v>3.9288541022217217E-2</v>
      </c>
    </row>
    <row r="606" spans="1:8" x14ac:dyDescent="0.3">
      <c r="A606" s="1">
        <v>42881</v>
      </c>
      <c r="B606" s="2">
        <v>22.120000999999998</v>
      </c>
      <c r="C606" s="2">
        <v>22.41</v>
      </c>
      <c r="D606" s="2">
        <v>21.25</v>
      </c>
      <c r="E606" s="2">
        <v>22.219999000000001</v>
      </c>
      <c r="F606" s="3">
        <v>18.348963000000001</v>
      </c>
      <c r="G606" s="4">
        <v>14212000</v>
      </c>
      <c r="H606">
        <f t="shared" si="9"/>
        <v>-6.1101113899235331E-2</v>
      </c>
    </row>
    <row r="607" spans="1:8" x14ac:dyDescent="0.3">
      <c r="A607" s="1">
        <v>42885</v>
      </c>
      <c r="B607" s="2">
        <v>22.18</v>
      </c>
      <c r="C607" s="2">
        <v>22.93</v>
      </c>
      <c r="D607" s="2">
        <v>22.17</v>
      </c>
      <c r="E607" s="2">
        <v>22.57</v>
      </c>
      <c r="F607" s="3">
        <v>18.637985</v>
      </c>
      <c r="G607" s="4">
        <v>5679900</v>
      </c>
      <c r="H607">
        <f t="shared" si="9"/>
        <v>1.5628851622461908E-2</v>
      </c>
    </row>
    <row r="608" spans="1:8" x14ac:dyDescent="0.3">
      <c r="A608" s="1">
        <v>42886</v>
      </c>
      <c r="B608" s="2">
        <v>22.639999</v>
      </c>
      <c r="C608" s="2">
        <v>22.700001</v>
      </c>
      <c r="D608" s="2">
        <v>21.889999</v>
      </c>
      <c r="E608" s="2">
        <v>22.139999</v>
      </c>
      <c r="F608" s="3">
        <v>18.282897999999999</v>
      </c>
      <c r="G608" s="4">
        <v>5406500</v>
      </c>
      <c r="H608">
        <f t="shared" si="9"/>
        <v>-1.9235708716072903E-2</v>
      </c>
    </row>
    <row r="609" spans="1:8" x14ac:dyDescent="0.3">
      <c r="A609" s="1">
        <v>42887</v>
      </c>
      <c r="B609" s="2">
        <v>22.15</v>
      </c>
      <c r="C609" s="2">
        <v>22.959999</v>
      </c>
      <c r="D609" s="2">
        <v>22.110001</v>
      </c>
      <c r="E609" s="2">
        <v>22.780000999999999</v>
      </c>
      <c r="F609" s="3">
        <v>18.811401</v>
      </c>
      <c r="G609" s="4">
        <v>3691000</v>
      </c>
      <c r="H609">
        <f t="shared" si="9"/>
        <v>2.8497119803819811E-2</v>
      </c>
    </row>
    <row r="610" spans="1:8" x14ac:dyDescent="0.3">
      <c r="A610" s="1">
        <v>42888</v>
      </c>
      <c r="B610" s="2">
        <v>22.73</v>
      </c>
      <c r="C610" s="2">
        <v>22.780000999999999</v>
      </c>
      <c r="D610" s="2">
        <v>22.35</v>
      </c>
      <c r="E610" s="2">
        <v>22.67</v>
      </c>
      <c r="F610" s="3">
        <v>18.720568</v>
      </c>
      <c r="G610" s="4">
        <v>2350500</v>
      </c>
      <c r="H610">
        <f t="shared" si="9"/>
        <v>-4.8405373977535868E-3</v>
      </c>
    </row>
    <row r="611" spans="1:8" x14ac:dyDescent="0.3">
      <c r="A611" s="1">
        <v>42891</v>
      </c>
      <c r="B611" s="2">
        <v>22.25</v>
      </c>
      <c r="C611" s="2">
        <v>22.57</v>
      </c>
      <c r="D611" s="2">
        <v>21.959999</v>
      </c>
      <c r="E611" s="2">
        <v>22.48</v>
      </c>
      <c r="F611" s="3">
        <v>18.880136</v>
      </c>
      <c r="G611" s="4">
        <v>1955700</v>
      </c>
      <c r="H611">
        <f t="shared" si="9"/>
        <v>-8.4164394939473339E-3</v>
      </c>
    </row>
    <row r="612" spans="1:8" x14ac:dyDescent="0.3">
      <c r="A612" s="1">
        <v>42892</v>
      </c>
      <c r="B612" s="2">
        <v>22.25</v>
      </c>
      <c r="C612" s="2">
        <v>22.360001</v>
      </c>
      <c r="D612" s="2">
        <v>21.889999</v>
      </c>
      <c r="E612" s="2">
        <v>21.9</v>
      </c>
      <c r="F612" s="3">
        <v>18.393018999999999</v>
      </c>
      <c r="G612" s="4">
        <v>3105400</v>
      </c>
      <c r="H612">
        <f t="shared" si="9"/>
        <v>-2.6139388203035244E-2</v>
      </c>
    </row>
    <row r="613" spans="1:8" x14ac:dyDescent="0.3">
      <c r="A613" s="1">
        <v>42893</v>
      </c>
      <c r="B613" s="2">
        <v>21.959999</v>
      </c>
      <c r="C613" s="2">
        <v>22.209999</v>
      </c>
      <c r="D613" s="2">
        <v>21.83</v>
      </c>
      <c r="E613" s="2">
        <v>22.040001</v>
      </c>
      <c r="F613" s="3">
        <v>18.510601000000001</v>
      </c>
      <c r="G613" s="4">
        <v>2154800</v>
      </c>
      <c r="H613">
        <f t="shared" si="9"/>
        <v>6.3723928343084879E-3</v>
      </c>
    </row>
    <row r="614" spans="1:8" x14ac:dyDescent="0.3">
      <c r="A614" s="1">
        <v>42894</v>
      </c>
      <c r="B614" s="2">
        <v>22.15</v>
      </c>
      <c r="C614" s="2">
        <v>22.43</v>
      </c>
      <c r="D614" s="2">
        <v>21.33</v>
      </c>
      <c r="E614" s="2">
        <v>21.370000999999998</v>
      </c>
      <c r="F614" s="3">
        <v>17.947893000000001</v>
      </c>
      <c r="G614" s="4">
        <v>3618800</v>
      </c>
      <c r="H614">
        <f t="shared" si="9"/>
        <v>-3.08709135311366E-2</v>
      </c>
    </row>
    <row r="615" spans="1:8" x14ac:dyDescent="0.3">
      <c r="A615" s="1">
        <v>42895</v>
      </c>
      <c r="B615" s="2">
        <v>21.33</v>
      </c>
      <c r="C615" s="2">
        <v>22.09</v>
      </c>
      <c r="D615" s="2">
        <v>21.299999</v>
      </c>
      <c r="E615" s="2">
        <v>22.01</v>
      </c>
      <c r="F615" s="3">
        <v>18.485403000000002</v>
      </c>
      <c r="G615" s="4">
        <v>2955700</v>
      </c>
      <c r="H615">
        <f t="shared" si="9"/>
        <v>2.9508779412743404E-2</v>
      </c>
    </row>
    <row r="616" spans="1:8" x14ac:dyDescent="0.3">
      <c r="A616" s="1">
        <v>42898</v>
      </c>
      <c r="B616" s="2">
        <v>21.940000999999999</v>
      </c>
      <c r="C616" s="2">
        <v>22.15</v>
      </c>
      <c r="D616" s="2">
        <v>21.59</v>
      </c>
      <c r="E616" s="2">
        <v>21.709999</v>
      </c>
      <c r="F616" s="3">
        <v>18.233442</v>
      </c>
      <c r="G616" s="4">
        <v>3281900</v>
      </c>
      <c r="H616">
        <f t="shared" si="9"/>
        <v>-1.372395770989366E-2</v>
      </c>
    </row>
    <row r="617" spans="1:8" x14ac:dyDescent="0.3">
      <c r="A617" s="1">
        <v>42899</v>
      </c>
      <c r="B617" s="2">
        <v>21.780000999999999</v>
      </c>
      <c r="C617" s="2">
        <v>22.17</v>
      </c>
      <c r="D617" s="2">
        <v>21.57</v>
      </c>
      <c r="E617" s="2">
        <v>21.98</v>
      </c>
      <c r="F617" s="3">
        <v>18.460207</v>
      </c>
      <c r="G617" s="4">
        <v>1918400</v>
      </c>
      <c r="H617">
        <f t="shared" si="9"/>
        <v>1.2360011146998647E-2</v>
      </c>
    </row>
    <row r="618" spans="1:8" x14ac:dyDescent="0.3">
      <c r="A618" s="1">
        <v>42900</v>
      </c>
      <c r="B618" s="2">
        <v>21.959999</v>
      </c>
      <c r="C618" s="2">
        <v>21.959999</v>
      </c>
      <c r="D618" s="2">
        <v>21.25</v>
      </c>
      <c r="E618" s="2">
        <v>21.629999000000002</v>
      </c>
      <c r="F618" s="3">
        <v>18.166256000000001</v>
      </c>
      <c r="G618" s="4">
        <v>2481100</v>
      </c>
      <c r="H618">
        <f t="shared" si="9"/>
        <v>-1.6051755242594046E-2</v>
      </c>
    </row>
    <row r="619" spans="1:8" x14ac:dyDescent="0.3">
      <c r="A619" s="1">
        <v>42901</v>
      </c>
      <c r="B619" s="2">
        <v>21.52</v>
      </c>
      <c r="C619" s="2">
        <v>21.65</v>
      </c>
      <c r="D619" s="2">
        <v>21.139999</v>
      </c>
      <c r="E619" s="2">
        <v>21.219999000000001</v>
      </c>
      <c r="F619" s="3">
        <v>17.821911</v>
      </c>
      <c r="G619" s="4">
        <v>2321100</v>
      </c>
      <c r="H619">
        <f t="shared" si="9"/>
        <v>-1.9137107672398731E-2</v>
      </c>
    </row>
    <row r="620" spans="1:8" x14ac:dyDescent="0.3">
      <c r="A620" s="1">
        <v>42902</v>
      </c>
      <c r="B620" s="2">
        <v>21.120000999999998</v>
      </c>
      <c r="C620" s="2">
        <v>21.17</v>
      </c>
      <c r="D620" s="2">
        <v>20.5</v>
      </c>
      <c r="E620" s="2">
        <v>20.59</v>
      </c>
      <c r="F620" s="3">
        <v>17.292798999999999</v>
      </c>
      <c r="G620" s="4">
        <v>3683000</v>
      </c>
      <c r="H620">
        <f t="shared" si="9"/>
        <v>-3.0138565020784568E-2</v>
      </c>
    </row>
    <row r="621" spans="1:8" x14ac:dyDescent="0.3">
      <c r="A621" s="1">
        <v>42905</v>
      </c>
      <c r="B621" s="2">
        <v>20.65</v>
      </c>
      <c r="C621" s="2">
        <v>20.969999000000001</v>
      </c>
      <c r="D621" s="2">
        <v>20.350000000000001</v>
      </c>
      <c r="E621" s="2">
        <v>20.799999</v>
      </c>
      <c r="F621" s="3">
        <v>17.469166000000001</v>
      </c>
      <c r="G621" s="4">
        <v>2133400</v>
      </c>
      <c r="H621">
        <f t="shared" si="9"/>
        <v>1.0147417590650029E-2</v>
      </c>
    </row>
    <row r="622" spans="1:8" x14ac:dyDescent="0.3">
      <c r="A622" s="1">
        <v>42906</v>
      </c>
      <c r="B622" s="2">
        <v>20.719999000000001</v>
      </c>
      <c r="C622" s="2">
        <v>20.780000999999999</v>
      </c>
      <c r="D622" s="2">
        <v>20.469999000000001</v>
      </c>
      <c r="E622" s="2">
        <v>20.639999</v>
      </c>
      <c r="F622" s="3">
        <v>17.334786999999999</v>
      </c>
      <c r="G622" s="4">
        <v>1796200</v>
      </c>
      <c r="H622">
        <f t="shared" si="9"/>
        <v>-7.722046466599625E-3</v>
      </c>
    </row>
    <row r="623" spans="1:8" x14ac:dyDescent="0.3">
      <c r="A623" s="1">
        <v>42907</v>
      </c>
      <c r="B623" s="2">
        <v>20.66</v>
      </c>
      <c r="C623" s="2">
        <v>20.950001</v>
      </c>
      <c r="D623" s="2">
        <v>20.290001</v>
      </c>
      <c r="E623" s="2">
        <v>20.459999</v>
      </c>
      <c r="F623" s="3">
        <v>17.183615</v>
      </c>
      <c r="G623" s="4">
        <v>2194200</v>
      </c>
      <c r="H623">
        <f t="shared" si="9"/>
        <v>-8.7591805161244939E-3</v>
      </c>
    </row>
    <row r="624" spans="1:8" x14ac:dyDescent="0.3">
      <c r="A624" s="1">
        <v>42908</v>
      </c>
      <c r="B624" s="2">
        <v>20.49</v>
      </c>
      <c r="C624" s="2">
        <v>20.790001</v>
      </c>
      <c r="D624" s="2">
        <v>20.440000999999999</v>
      </c>
      <c r="E624" s="2">
        <v>20.540001</v>
      </c>
      <c r="F624" s="3">
        <v>17.250805</v>
      </c>
      <c r="G624" s="4">
        <v>4211400</v>
      </c>
      <c r="H624">
        <f t="shared" si="9"/>
        <v>3.9025415382788319E-3</v>
      </c>
    </row>
    <row r="625" spans="1:8" x14ac:dyDescent="0.3">
      <c r="A625" s="1">
        <v>42909</v>
      </c>
      <c r="B625" s="2">
        <v>20.469999000000001</v>
      </c>
      <c r="C625" s="2">
        <v>20.66</v>
      </c>
      <c r="D625" s="2">
        <v>20.260000000000002</v>
      </c>
      <c r="E625" s="2">
        <v>20.65</v>
      </c>
      <c r="F625" s="3">
        <v>17.343188999999999</v>
      </c>
      <c r="G625" s="4">
        <v>1747800</v>
      </c>
      <c r="H625">
        <f t="shared" si="9"/>
        <v>5.3410662211389546E-3</v>
      </c>
    </row>
    <row r="626" spans="1:8" x14ac:dyDescent="0.3">
      <c r="A626" s="1">
        <v>42912</v>
      </c>
      <c r="B626" s="2">
        <v>20.67</v>
      </c>
      <c r="C626" s="2">
        <v>21.17</v>
      </c>
      <c r="D626" s="2">
        <v>20.66</v>
      </c>
      <c r="E626" s="2">
        <v>21.129999000000002</v>
      </c>
      <c r="F626" s="3">
        <v>17.746320999999998</v>
      </c>
      <c r="G626" s="4">
        <v>2307200</v>
      </c>
      <c r="H626">
        <f t="shared" si="9"/>
        <v>2.2978464894846028E-2</v>
      </c>
    </row>
    <row r="627" spans="1:8" x14ac:dyDescent="0.3">
      <c r="A627" s="1">
        <v>42913</v>
      </c>
      <c r="B627" s="2">
        <v>21.07</v>
      </c>
      <c r="C627" s="2">
        <v>21.5</v>
      </c>
      <c r="D627" s="2">
        <v>21.040001</v>
      </c>
      <c r="E627" s="2">
        <v>21.379999000000002</v>
      </c>
      <c r="F627" s="3">
        <v>17.956287</v>
      </c>
      <c r="G627" s="4">
        <v>1747200</v>
      </c>
      <c r="H627">
        <f t="shared" si="9"/>
        <v>1.1762074522325789E-2</v>
      </c>
    </row>
    <row r="628" spans="1:8" x14ac:dyDescent="0.3">
      <c r="A628" s="1">
        <v>42914</v>
      </c>
      <c r="B628" s="2">
        <v>21.5</v>
      </c>
      <c r="C628" s="2">
        <v>21.76</v>
      </c>
      <c r="D628" s="2">
        <v>21.43</v>
      </c>
      <c r="E628" s="2">
        <v>21.51</v>
      </c>
      <c r="F628" s="3">
        <v>18.065470000000001</v>
      </c>
      <c r="G628" s="4">
        <v>3161400</v>
      </c>
      <c r="H628">
        <f t="shared" si="9"/>
        <v>6.0620844554253603E-3</v>
      </c>
    </row>
    <row r="629" spans="1:8" x14ac:dyDescent="0.3">
      <c r="A629" s="1">
        <v>42915</v>
      </c>
      <c r="B629" s="2">
        <v>21.559999000000001</v>
      </c>
      <c r="C629" s="2">
        <v>21.780000999999999</v>
      </c>
      <c r="D629" s="2">
        <v>21.280000999999999</v>
      </c>
      <c r="E629" s="2">
        <v>21.610001</v>
      </c>
      <c r="F629" s="3">
        <v>18.149456000000001</v>
      </c>
      <c r="G629" s="4">
        <v>1733200</v>
      </c>
      <c r="H629">
        <f t="shared" si="9"/>
        <v>4.6382735140274379E-3</v>
      </c>
    </row>
    <row r="630" spans="1:8" x14ac:dyDescent="0.3">
      <c r="A630" s="1">
        <v>42916</v>
      </c>
      <c r="B630" s="2">
        <v>21.75</v>
      </c>
      <c r="C630" s="2">
        <v>21.799999</v>
      </c>
      <c r="D630" s="2">
        <v>21.389999</v>
      </c>
      <c r="E630" s="2">
        <v>21.610001</v>
      </c>
      <c r="F630" s="3">
        <v>18.149456000000001</v>
      </c>
      <c r="G630" s="4">
        <v>1151100</v>
      </c>
      <c r="H630">
        <f t="shared" si="9"/>
        <v>0</v>
      </c>
    </row>
    <row r="631" spans="1:8" x14ac:dyDescent="0.3">
      <c r="A631" s="1">
        <v>42919</v>
      </c>
      <c r="B631" s="2">
        <v>21.77</v>
      </c>
      <c r="C631" s="2">
        <v>22</v>
      </c>
      <c r="D631" s="2">
        <v>21.559999000000001</v>
      </c>
      <c r="E631" s="2">
        <v>21.6</v>
      </c>
      <c r="F631" s="3">
        <v>18.14106</v>
      </c>
      <c r="G631" s="4">
        <v>1409400</v>
      </c>
      <c r="H631">
        <f t="shared" si="9"/>
        <v>-4.6290210354695921E-4</v>
      </c>
    </row>
    <row r="632" spans="1:8" x14ac:dyDescent="0.3">
      <c r="A632" s="1">
        <v>42921</v>
      </c>
      <c r="B632" s="2">
        <v>21.559999000000001</v>
      </c>
      <c r="C632" s="2">
        <v>21.709999</v>
      </c>
      <c r="D632" s="2">
        <v>21.379999000000002</v>
      </c>
      <c r="E632" s="2">
        <v>21.51</v>
      </c>
      <c r="F632" s="3">
        <v>18.065470000000001</v>
      </c>
      <c r="G632" s="4">
        <v>2684200</v>
      </c>
      <c r="H632">
        <f t="shared" si="9"/>
        <v>-4.1753714104806215E-3</v>
      </c>
    </row>
    <row r="633" spans="1:8" x14ac:dyDescent="0.3">
      <c r="A633" s="1">
        <v>42922</v>
      </c>
      <c r="B633" s="2">
        <v>21.370000999999998</v>
      </c>
      <c r="C633" s="2">
        <v>21.540001</v>
      </c>
      <c r="D633" s="2">
        <v>21.07</v>
      </c>
      <c r="E633" s="2">
        <v>21.120000999999998</v>
      </c>
      <c r="F633" s="3">
        <v>17.737926000000002</v>
      </c>
      <c r="G633" s="4">
        <v>1508300</v>
      </c>
      <c r="H633">
        <f t="shared" si="9"/>
        <v>-1.8297437093094362E-2</v>
      </c>
    </row>
    <row r="634" spans="1:8" x14ac:dyDescent="0.3">
      <c r="A634" s="1">
        <v>42923</v>
      </c>
      <c r="B634" s="2">
        <v>21.15</v>
      </c>
      <c r="C634" s="2">
        <v>21.280000999999999</v>
      </c>
      <c r="D634" s="2">
        <v>20.860001</v>
      </c>
      <c r="E634" s="2">
        <v>20.91</v>
      </c>
      <c r="F634" s="3">
        <v>17.561554000000001</v>
      </c>
      <c r="G634" s="4">
        <v>1855900</v>
      </c>
      <c r="H634">
        <f t="shared" si="9"/>
        <v>-9.9929927460021099E-3</v>
      </c>
    </row>
    <row r="635" spans="1:8" x14ac:dyDescent="0.3">
      <c r="A635" s="1">
        <v>42926</v>
      </c>
      <c r="B635" s="2">
        <v>20.889999</v>
      </c>
      <c r="C635" s="2">
        <v>21.02</v>
      </c>
      <c r="D635" s="2">
        <v>20.790001</v>
      </c>
      <c r="E635" s="2">
        <v>20.889999</v>
      </c>
      <c r="F635" s="3">
        <v>17.544756</v>
      </c>
      <c r="G635" s="4">
        <v>1646500</v>
      </c>
      <c r="H635">
        <f t="shared" si="9"/>
        <v>-9.5698574186310419E-4</v>
      </c>
    </row>
    <row r="636" spans="1:8" x14ac:dyDescent="0.3">
      <c r="A636" s="1">
        <v>42927</v>
      </c>
      <c r="B636" s="2">
        <v>20.959999</v>
      </c>
      <c r="C636" s="2">
        <v>21.07</v>
      </c>
      <c r="D636" s="2">
        <v>20.809999000000001</v>
      </c>
      <c r="E636" s="2">
        <v>20.959999</v>
      </c>
      <c r="F636" s="3">
        <v>17.603546000000001</v>
      </c>
      <c r="G636" s="4">
        <v>1167700</v>
      </c>
      <c r="H636">
        <f t="shared" si="9"/>
        <v>3.3452840442375832E-3</v>
      </c>
    </row>
    <row r="637" spans="1:8" x14ac:dyDescent="0.3">
      <c r="A637" s="1">
        <v>42928</v>
      </c>
      <c r="B637" s="2">
        <v>21.15</v>
      </c>
      <c r="C637" s="2">
        <v>21.26</v>
      </c>
      <c r="D637" s="2">
        <v>20.98</v>
      </c>
      <c r="E637" s="2">
        <v>20.99</v>
      </c>
      <c r="F637" s="3">
        <v>17.628741999999999</v>
      </c>
      <c r="G637" s="4">
        <v>1087000</v>
      </c>
      <c r="H637">
        <f t="shared" si="9"/>
        <v>1.4303220896250224E-3</v>
      </c>
    </row>
    <row r="638" spans="1:8" x14ac:dyDescent="0.3">
      <c r="A638" s="1">
        <v>42929</v>
      </c>
      <c r="B638" s="2">
        <v>21.24</v>
      </c>
      <c r="C638" s="2">
        <v>21.43</v>
      </c>
      <c r="D638" s="2">
        <v>21.040001</v>
      </c>
      <c r="E638" s="2">
        <v>21.16</v>
      </c>
      <c r="F638" s="3">
        <v>17.771519000000001</v>
      </c>
      <c r="G638" s="4">
        <v>1749400</v>
      </c>
      <c r="H638">
        <f t="shared" si="9"/>
        <v>8.0664731575569911E-3</v>
      </c>
    </row>
    <row r="639" spans="1:8" x14ac:dyDescent="0.3">
      <c r="A639" s="1">
        <v>42930</v>
      </c>
      <c r="B639" s="2">
        <v>21.25</v>
      </c>
      <c r="C639" s="2">
        <v>21.32</v>
      </c>
      <c r="D639" s="2">
        <v>20.969999000000001</v>
      </c>
      <c r="E639" s="2">
        <v>21.02</v>
      </c>
      <c r="F639" s="3">
        <v>17.653939999999999</v>
      </c>
      <c r="G639" s="4">
        <v>1229900</v>
      </c>
      <c r="H639">
        <f t="shared" si="9"/>
        <v>-6.6382415412936293E-3</v>
      </c>
    </row>
    <row r="640" spans="1:8" x14ac:dyDescent="0.3">
      <c r="A640" s="1">
        <v>42933</v>
      </c>
      <c r="B640" s="2">
        <v>21.030000999999999</v>
      </c>
      <c r="C640" s="2">
        <v>21.58</v>
      </c>
      <c r="D640" s="2">
        <v>20.98</v>
      </c>
      <c r="E640" s="2">
        <v>21.280000999999999</v>
      </c>
      <c r="F640" s="3">
        <v>17.872302999999999</v>
      </c>
      <c r="G640" s="4">
        <v>1729300</v>
      </c>
      <c r="H640">
        <f t="shared" si="9"/>
        <v>1.2293346017118631E-2</v>
      </c>
    </row>
    <row r="641" spans="1:8" x14ac:dyDescent="0.3">
      <c r="A641" s="1">
        <v>42934</v>
      </c>
      <c r="B641" s="2">
        <v>21.379999000000002</v>
      </c>
      <c r="C641" s="2">
        <v>21.389999</v>
      </c>
      <c r="D641" s="2">
        <v>20.98</v>
      </c>
      <c r="E641" s="2">
        <v>21.09</v>
      </c>
      <c r="F641" s="3">
        <v>17.712727000000001</v>
      </c>
      <c r="G641" s="4">
        <v>1103200</v>
      </c>
      <c r="H641">
        <f t="shared" si="9"/>
        <v>-8.9687169752404958E-3</v>
      </c>
    </row>
    <row r="642" spans="1:8" x14ac:dyDescent="0.3">
      <c r="A642" s="1">
        <v>42935</v>
      </c>
      <c r="B642" s="2">
        <v>21.15</v>
      </c>
      <c r="C642" s="2">
        <v>21.469999000000001</v>
      </c>
      <c r="D642" s="2">
        <v>21.059999000000001</v>
      </c>
      <c r="E642" s="2">
        <v>21.35</v>
      </c>
      <c r="F642" s="3">
        <v>17.931093000000001</v>
      </c>
      <c r="G642" s="4">
        <v>972900</v>
      </c>
      <c r="H642">
        <f t="shared" si="9"/>
        <v>1.2252745183950347E-2</v>
      </c>
    </row>
    <row r="643" spans="1:8" x14ac:dyDescent="0.3">
      <c r="A643" s="1">
        <v>42936</v>
      </c>
      <c r="B643" s="2">
        <v>21.299999</v>
      </c>
      <c r="C643" s="2">
        <v>21.34</v>
      </c>
      <c r="D643" s="2">
        <v>21.1</v>
      </c>
      <c r="E643" s="2">
        <v>21.1</v>
      </c>
      <c r="F643" s="3">
        <v>17.721126999999999</v>
      </c>
      <c r="G643" s="4">
        <v>1855700</v>
      </c>
      <c r="H643">
        <f t="shared" si="9"/>
        <v>-1.1778699192612763E-2</v>
      </c>
    </row>
    <row r="644" spans="1:8" x14ac:dyDescent="0.3">
      <c r="A644" s="1">
        <v>42937</v>
      </c>
      <c r="B644" s="2">
        <v>21.139999</v>
      </c>
      <c r="C644" s="2">
        <v>21.18</v>
      </c>
      <c r="D644" s="2">
        <v>20.719999000000001</v>
      </c>
      <c r="E644" s="2">
        <v>20.780000999999999</v>
      </c>
      <c r="F644" s="3">
        <v>17.452372</v>
      </c>
      <c r="G644" s="4">
        <v>3575400</v>
      </c>
      <c r="H644">
        <f t="shared" ref="H644:H707" si="10">LN(E644/E643)</f>
        <v>-1.5282006687745445E-2</v>
      </c>
    </row>
    <row r="645" spans="1:8" x14ac:dyDescent="0.3">
      <c r="A645" s="1">
        <v>42940</v>
      </c>
      <c r="B645" s="2">
        <v>20.700001</v>
      </c>
      <c r="C645" s="2">
        <v>21</v>
      </c>
      <c r="D645" s="2">
        <v>20.65</v>
      </c>
      <c r="E645" s="2">
        <v>20.799999</v>
      </c>
      <c r="F645" s="3">
        <v>17.469166000000001</v>
      </c>
      <c r="G645" s="4">
        <v>1584300</v>
      </c>
      <c r="H645">
        <f t="shared" si="10"/>
        <v>9.6190483607265064E-4</v>
      </c>
    </row>
    <row r="646" spans="1:8" x14ac:dyDescent="0.3">
      <c r="A646" s="1">
        <v>42941</v>
      </c>
      <c r="B646" s="2">
        <v>20.99</v>
      </c>
      <c r="C646" s="2">
        <v>21.370000999999998</v>
      </c>
      <c r="D646" s="2">
        <v>20.940000999999999</v>
      </c>
      <c r="E646" s="2">
        <v>21.26</v>
      </c>
      <c r="F646" s="3">
        <v>17.855506999999999</v>
      </c>
      <c r="G646" s="4">
        <v>2105500</v>
      </c>
      <c r="H646">
        <f t="shared" si="10"/>
        <v>2.1874434283453918E-2</v>
      </c>
    </row>
    <row r="647" spans="1:8" x14ac:dyDescent="0.3">
      <c r="A647" s="1">
        <v>42942</v>
      </c>
      <c r="B647" s="2">
        <v>21.280000999999999</v>
      </c>
      <c r="C647" s="2">
        <v>21.33</v>
      </c>
      <c r="D647" s="2">
        <v>20.950001</v>
      </c>
      <c r="E647" s="2">
        <v>21.040001</v>
      </c>
      <c r="F647" s="3">
        <v>17.670733999999999</v>
      </c>
      <c r="G647" s="4">
        <v>1769900</v>
      </c>
      <c r="H647">
        <f t="shared" si="10"/>
        <v>-1.0401937515776817E-2</v>
      </c>
    </row>
    <row r="648" spans="1:8" x14ac:dyDescent="0.3">
      <c r="A648" s="1">
        <v>42943</v>
      </c>
      <c r="B648" s="2">
        <v>21.09</v>
      </c>
      <c r="C648" s="2">
        <v>21.76</v>
      </c>
      <c r="D648" s="2">
        <v>21.030000999999999</v>
      </c>
      <c r="E648" s="2">
        <v>21.700001</v>
      </c>
      <c r="F648" s="3">
        <v>18.225045999999999</v>
      </c>
      <c r="G648" s="4">
        <v>3838400</v>
      </c>
      <c r="H648">
        <f t="shared" si="10"/>
        <v>3.0886871231337078E-2</v>
      </c>
    </row>
    <row r="649" spans="1:8" x14ac:dyDescent="0.3">
      <c r="A649" s="1">
        <v>42944</v>
      </c>
      <c r="B649" s="2">
        <v>21.639999</v>
      </c>
      <c r="C649" s="2">
        <v>21.73</v>
      </c>
      <c r="D649" s="2">
        <v>21.4</v>
      </c>
      <c r="E649" s="2">
        <v>21.5</v>
      </c>
      <c r="F649" s="3">
        <v>18.057074</v>
      </c>
      <c r="G649" s="4">
        <v>1234700</v>
      </c>
      <c r="H649">
        <f t="shared" si="10"/>
        <v>-9.2593714957450481E-3</v>
      </c>
    </row>
    <row r="650" spans="1:8" x14ac:dyDescent="0.3">
      <c r="A650" s="1">
        <v>42947</v>
      </c>
      <c r="B650" s="2">
        <v>21.549999</v>
      </c>
      <c r="C650" s="2">
        <v>21.76</v>
      </c>
      <c r="D650" s="2">
        <v>21.41</v>
      </c>
      <c r="E650" s="2">
        <v>21.690000999999999</v>
      </c>
      <c r="F650" s="3">
        <v>18.216647999999999</v>
      </c>
      <c r="G650" s="4">
        <v>1369400</v>
      </c>
      <c r="H650">
        <f t="shared" si="10"/>
        <v>8.798435809360166E-3</v>
      </c>
    </row>
    <row r="651" spans="1:8" x14ac:dyDescent="0.3">
      <c r="A651" s="1">
        <v>42948</v>
      </c>
      <c r="B651" s="2">
        <v>21.690000999999999</v>
      </c>
      <c r="C651" s="2">
        <v>21.690000999999999</v>
      </c>
      <c r="D651" s="2">
        <v>21.139999</v>
      </c>
      <c r="E651" s="2">
        <v>21.360001</v>
      </c>
      <c r="F651" s="3">
        <v>17.939491</v>
      </c>
      <c r="G651" s="4">
        <v>3059100</v>
      </c>
      <c r="H651">
        <f t="shared" si="10"/>
        <v>-1.5331310034505004E-2</v>
      </c>
    </row>
    <row r="652" spans="1:8" x14ac:dyDescent="0.3">
      <c r="A652" s="1">
        <v>42949</v>
      </c>
      <c r="B652" s="2">
        <v>21.32</v>
      </c>
      <c r="C652" s="2">
        <v>21.620000999999998</v>
      </c>
      <c r="D652" s="2">
        <v>21.27</v>
      </c>
      <c r="E652" s="2">
        <v>21.379999000000002</v>
      </c>
      <c r="F652" s="3">
        <v>17.956287</v>
      </c>
      <c r="G652" s="4">
        <v>1116100</v>
      </c>
      <c r="H652">
        <f t="shared" si="10"/>
        <v>9.3579791574106277E-4</v>
      </c>
    </row>
    <row r="653" spans="1:8" x14ac:dyDescent="0.3">
      <c r="A653" s="1">
        <v>42950</v>
      </c>
      <c r="B653" s="2">
        <v>21.32</v>
      </c>
      <c r="C653" s="2">
        <v>21.82</v>
      </c>
      <c r="D653" s="2">
        <v>21.32</v>
      </c>
      <c r="E653" s="2">
        <v>21.66</v>
      </c>
      <c r="F653" s="3">
        <v>18.19145</v>
      </c>
      <c r="G653" s="4">
        <v>1047900</v>
      </c>
      <c r="H653">
        <f t="shared" si="10"/>
        <v>1.3011382748631116E-2</v>
      </c>
    </row>
    <row r="654" spans="1:8" x14ac:dyDescent="0.3">
      <c r="A654" s="1">
        <v>42951</v>
      </c>
      <c r="B654" s="2">
        <v>21.780000999999999</v>
      </c>
      <c r="C654" s="2">
        <v>22.110001</v>
      </c>
      <c r="D654" s="2">
        <v>21.690000999999999</v>
      </c>
      <c r="E654" s="2">
        <v>21.93</v>
      </c>
      <c r="F654" s="3">
        <v>18.418216999999999</v>
      </c>
      <c r="G654" s="4">
        <v>1136100</v>
      </c>
      <c r="H654">
        <f t="shared" si="10"/>
        <v>1.2388320856952266E-2</v>
      </c>
    </row>
    <row r="655" spans="1:8" x14ac:dyDescent="0.3">
      <c r="A655" s="1">
        <v>42954</v>
      </c>
      <c r="B655" s="2">
        <v>21.940000999999999</v>
      </c>
      <c r="C655" s="2">
        <v>22.26</v>
      </c>
      <c r="D655" s="2">
        <v>21.83</v>
      </c>
      <c r="E655" s="2">
        <v>22.17</v>
      </c>
      <c r="F655" s="3">
        <v>18.619781</v>
      </c>
      <c r="G655" s="4">
        <v>1277600</v>
      </c>
      <c r="H655">
        <f t="shared" si="10"/>
        <v>1.088446119842338E-2</v>
      </c>
    </row>
    <row r="656" spans="1:8" x14ac:dyDescent="0.3">
      <c r="A656" s="1">
        <v>42955</v>
      </c>
      <c r="B656" s="2">
        <v>22.200001</v>
      </c>
      <c r="C656" s="2">
        <v>22.370000999999998</v>
      </c>
      <c r="D656" s="2">
        <v>21.9</v>
      </c>
      <c r="E656" s="2">
        <v>21.940000999999999</v>
      </c>
      <c r="F656" s="3">
        <v>18.426615000000002</v>
      </c>
      <c r="G656" s="4">
        <v>1422500</v>
      </c>
      <c r="H656">
        <f t="shared" si="10"/>
        <v>-1.0428523202285617E-2</v>
      </c>
    </row>
    <row r="657" spans="1:8" x14ac:dyDescent="0.3">
      <c r="A657" s="1">
        <v>42956</v>
      </c>
      <c r="B657" s="2">
        <v>21.75</v>
      </c>
      <c r="C657" s="2">
        <v>22.120000999999998</v>
      </c>
      <c r="D657" s="2">
        <v>21.620000999999998</v>
      </c>
      <c r="E657" s="2">
        <v>22.08</v>
      </c>
      <c r="F657" s="3">
        <v>18.544193</v>
      </c>
      <c r="G657" s="4">
        <v>1503500</v>
      </c>
      <c r="H657">
        <f t="shared" si="10"/>
        <v>6.3607209829600192E-3</v>
      </c>
    </row>
    <row r="658" spans="1:8" x14ac:dyDescent="0.3">
      <c r="A658" s="1">
        <v>42957</v>
      </c>
      <c r="B658" s="2">
        <v>21.91</v>
      </c>
      <c r="C658" s="2">
        <v>21.91</v>
      </c>
      <c r="D658" s="2">
        <v>21.459999</v>
      </c>
      <c r="E658" s="2">
        <v>21.469999000000001</v>
      </c>
      <c r="F658" s="3">
        <v>18.031876</v>
      </c>
      <c r="G658" s="4">
        <v>1521300</v>
      </c>
      <c r="H658">
        <f t="shared" si="10"/>
        <v>-2.8015656094824409E-2</v>
      </c>
    </row>
    <row r="659" spans="1:8" x14ac:dyDescent="0.3">
      <c r="A659" s="1">
        <v>42958</v>
      </c>
      <c r="B659" s="2">
        <v>21.24</v>
      </c>
      <c r="C659" s="2">
        <v>21.83</v>
      </c>
      <c r="D659" s="2">
        <v>21.07</v>
      </c>
      <c r="E659" s="2">
        <v>21.76</v>
      </c>
      <c r="F659" s="3">
        <v>18.275438000000001</v>
      </c>
      <c r="G659" s="4">
        <v>1619300</v>
      </c>
      <c r="H659">
        <f t="shared" si="10"/>
        <v>1.3416856673671906E-2</v>
      </c>
    </row>
    <row r="660" spans="1:8" x14ac:dyDescent="0.3">
      <c r="A660" s="1">
        <v>42961</v>
      </c>
      <c r="B660" s="2">
        <v>21.950001</v>
      </c>
      <c r="C660" s="2">
        <v>21.99</v>
      </c>
      <c r="D660" s="2">
        <v>21.719999000000001</v>
      </c>
      <c r="E660" s="2">
        <v>21.85</v>
      </c>
      <c r="F660" s="3">
        <v>18.351025</v>
      </c>
      <c r="G660" s="4">
        <v>1533900</v>
      </c>
      <c r="H660">
        <f t="shared" si="10"/>
        <v>4.1274995538572922E-3</v>
      </c>
    </row>
    <row r="661" spans="1:8" x14ac:dyDescent="0.3">
      <c r="A661" s="1">
        <v>42962</v>
      </c>
      <c r="B661" s="2">
        <v>21.700001</v>
      </c>
      <c r="C661" s="2">
        <v>21.77</v>
      </c>
      <c r="D661" s="2">
        <v>20.780000999999999</v>
      </c>
      <c r="E661" s="2">
        <v>20.93</v>
      </c>
      <c r="F661" s="3">
        <v>17.578347999999998</v>
      </c>
      <c r="G661" s="4">
        <v>3888400</v>
      </c>
      <c r="H661">
        <f t="shared" si="10"/>
        <v>-4.3017385083690816E-2</v>
      </c>
    </row>
    <row r="662" spans="1:8" x14ac:dyDescent="0.3">
      <c r="A662" s="1">
        <v>42963</v>
      </c>
      <c r="B662" s="2">
        <v>21.120000999999998</v>
      </c>
      <c r="C662" s="2">
        <v>21.49</v>
      </c>
      <c r="D662" s="2">
        <v>21.08</v>
      </c>
      <c r="E662" s="2">
        <v>21.389999</v>
      </c>
      <c r="F662" s="3">
        <v>17.964684999999999</v>
      </c>
      <c r="G662" s="4">
        <v>2439400</v>
      </c>
      <c r="H662">
        <f t="shared" si="10"/>
        <v>2.1739939885586593E-2</v>
      </c>
    </row>
    <row r="663" spans="1:8" x14ac:dyDescent="0.3">
      <c r="A663" s="1">
        <v>42964</v>
      </c>
      <c r="B663" s="2">
        <v>21.370000999999998</v>
      </c>
      <c r="C663" s="2">
        <v>21.66</v>
      </c>
      <c r="D663" s="2">
        <v>21</v>
      </c>
      <c r="E663" s="2">
        <v>21.1</v>
      </c>
      <c r="F663" s="3">
        <v>17.721126999999999</v>
      </c>
      <c r="G663" s="4">
        <v>1939600</v>
      </c>
      <c r="H663">
        <f t="shared" si="10"/>
        <v>-1.3650435861474127E-2</v>
      </c>
    </row>
    <row r="664" spans="1:8" x14ac:dyDescent="0.3">
      <c r="A664" s="1">
        <v>42965</v>
      </c>
      <c r="B664" s="2">
        <v>21.049999</v>
      </c>
      <c r="C664" s="2">
        <v>21.33</v>
      </c>
      <c r="D664" s="2">
        <v>20.969999000000001</v>
      </c>
      <c r="E664" s="2">
        <v>21.219999000000001</v>
      </c>
      <c r="F664" s="3">
        <v>17.821911</v>
      </c>
      <c r="G664" s="4">
        <v>2123500</v>
      </c>
      <c r="H664">
        <f t="shared" si="10"/>
        <v>5.6710455784616913E-3</v>
      </c>
    </row>
    <row r="665" spans="1:8" x14ac:dyDescent="0.3">
      <c r="A665" s="1">
        <v>42968</v>
      </c>
      <c r="B665" s="2">
        <v>21.16</v>
      </c>
      <c r="C665" s="2">
        <v>21.360001</v>
      </c>
      <c r="D665" s="2">
        <v>20.969999000000001</v>
      </c>
      <c r="E665" s="2">
        <v>20.98</v>
      </c>
      <c r="F665" s="3">
        <v>17.620342000000001</v>
      </c>
      <c r="G665" s="4">
        <v>1633100</v>
      </c>
      <c r="H665">
        <f t="shared" si="10"/>
        <v>-1.1374483092331477E-2</v>
      </c>
    </row>
    <row r="666" spans="1:8" x14ac:dyDescent="0.3">
      <c r="A666" s="1">
        <v>42969</v>
      </c>
      <c r="B666" s="2">
        <v>21.120000999999998</v>
      </c>
      <c r="C666" s="2">
        <v>21.690000999999999</v>
      </c>
      <c r="D666" s="2">
        <v>21.09</v>
      </c>
      <c r="E666" s="2">
        <v>21.639999</v>
      </c>
      <c r="F666" s="3">
        <v>18.174654</v>
      </c>
      <c r="G666" s="4">
        <v>2473800</v>
      </c>
      <c r="H666">
        <f t="shared" si="10"/>
        <v>3.0973804799407614E-2</v>
      </c>
    </row>
    <row r="667" spans="1:8" x14ac:dyDescent="0.3">
      <c r="A667" s="1">
        <v>42970</v>
      </c>
      <c r="B667" s="2">
        <v>21.59</v>
      </c>
      <c r="C667" s="2">
        <v>21.82</v>
      </c>
      <c r="D667" s="2">
        <v>21.209999</v>
      </c>
      <c r="E667" s="2">
        <v>21.48</v>
      </c>
      <c r="F667" s="3">
        <v>18.040277</v>
      </c>
      <c r="G667" s="4">
        <v>2432900</v>
      </c>
      <c r="H667">
        <f t="shared" si="10"/>
        <v>-7.4211381268948417E-3</v>
      </c>
    </row>
    <row r="668" spans="1:8" x14ac:dyDescent="0.3">
      <c r="A668" s="1">
        <v>42971</v>
      </c>
      <c r="B668" s="2">
        <v>21.75</v>
      </c>
      <c r="C668" s="2">
        <v>22.120000999999998</v>
      </c>
      <c r="D668" s="2">
        <v>21.65</v>
      </c>
      <c r="E668" s="2">
        <v>21.780000999999999</v>
      </c>
      <c r="F668" s="3">
        <v>18.292234000000001</v>
      </c>
      <c r="G668" s="4">
        <v>4234600</v>
      </c>
      <c r="H668">
        <f t="shared" si="10"/>
        <v>1.3869893777831575E-2</v>
      </c>
    </row>
    <row r="669" spans="1:8" x14ac:dyDescent="0.3">
      <c r="A669" s="1">
        <v>42972</v>
      </c>
      <c r="B669" s="2">
        <v>19.899999999999999</v>
      </c>
      <c r="C669" s="2">
        <v>19.940000999999999</v>
      </c>
      <c r="D669" s="2">
        <v>18.719999000000001</v>
      </c>
      <c r="E669" s="2">
        <v>19.399999999999999</v>
      </c>
      <c r="F669" s="3">
        <v>16.29336</v>
      </c>
      <c r="G669" s="4">
        <v>20500700</v>
      </c>
      <c r="H669">
        <f t="shared" si="10"/>
        <v>-0.11571909734921322</v>
      </c>
    </row>
    <row r="670" spans="1:8" x14ac:dyDescent="0.3">
      <c r="A670" s="1">
        <v>42975</v>
      </c>
      <c r="B670" s="2">
        <v>19.41</v>
      </c>
      <c r="C670" s="2">
        <v>19.700001</v>
      </c>
      <c r="D670" s="2">
        <v>18.959999</v>
      </c>
      <c r="E670" s="2">
        <v>19.149999999999999</v>
      </c>
      <c r="F670" s="3">
        <v>16.083393000000001</v>
      </c>
      <c r="G670" s="4">
        <v>5228400</v>
      </c>
      <c r="H670">
        <f t="shared" si="10"/>
        <v>-1.2970350442627404E-2</v>
      </c>
    </row>
    <row r="671" spans="1:8" x14ac:dyDescent="0.3">
      <c r="A671" s="1">
        <v>42976</v>
      </c>
      <c r="B671" s="2">
        <v>18.93</v>
      </c>
      <c r="C671" s="2">
        <v>19.07</v>
      </c>
      <c r="D671" s="2">
        <v>18.639999</v>
      </c>
      <c r="E671" s="2">
        <v>18.75</v>
      </c>
      <c r="F671" s="3">
        <v>15.747450000000001</v>
      </c>
      <c r="G671" s="4">
        <v>4667700</v>
      </c>
      <c r="H671">
        <f t="shared" si="10"/>
        <v>-2.1108963210235053E-2</v>
      </c>
    </row>
    <row r="672" spans="1:8" x14ac:dyDescent="0.3">
      <c r="A672" s="1">
        <v>42977</v>
      </c>
      <c r="B672" s="2">
        <v>18.75</v>
      </c>
      <c r="C672" s="2">
        <v>18.969999000000001</v>
      </c>
      <c r="D672" s="2">
        <v>18.68</v>
      </c>
      <c r="E672" s="2">
        <v>18.790001</v>
      </c>
      <c r="F672" s="3">
        <v>15.781041999999999</v>
      </c>
      <c r="G672" s="4">
        <v>2210100</v>
      </c>
      <c r="H672">
        <f t="shared" si="10"/>
        <v>2.131114228750433E-3</v>
      </c>
    </row>
    <row r="673" spans="1:8" x14ac:dyDescent="0.3">
      <c r="A673" s="1">
        <v>42978</v>
      </c>
      <c r="B673" s="2">
        <v>18.829999999999998</v>
      </c>
      <c r="C673" s="2">
        <v>18.870000999999998</v>
      </c>
      <c r="D673" s="2">
        <v>18.469999000000001</v>
      </c>
      <c r="E673" s="2">
        <v>18.5</v>
      </c>
      <c r="F673" s="3">
        <v>15.537482000000001</v>
      </c>
      <c r="G673" s="4">
        <v>2629600</v>
      </c>
      <c r="H673">
        <f t="shared" si="10"/>
        <v>-1.5554134560891181E-2</v>
      </c>
    </row>
    <row r="674" spans="1:8" x14ac:dyDescent="0.3">
      <c r="A674" s="1">
        <v>42979</v>
      </c>
      <c r="B674" s="2">
        <v>18.600000000000001</v>
      </c>
      <c r="C674" s="2">
        <v>18.879999000000002</v>
      </c>
      <c r="D674" s="2">
        <v>18.600000000000001</v>
      </c>
      <c r="E674" s="2">
        <v>18.670000000000002</v>
      </c>
      <c r="F674" s="3">
        <v>15.680258</v>
      </c>
      <c r="G674" s="4">
        <v>2344300</v>
      </c>
      <c r="H674">
        <f t="shared" si="10"/>
        <v>9.1472254693522378E-3</v>
      </c>
    </row>
    <row r="675" spans="1:8" x14ac:dyDescent="0.3">
      <c r="A675" s="1">
        <v>42983</v>
      </c>
      <c r="B675" s="2">
        <v>18.690000999999999</v>
      </c>
      <c r="C675" s="2">
        <v>18.959999</v>
      </c>
      <c r="D675" s="2">
        <v>18.559999000000001</v>
      </c>
      <c r="E675" s="2">
        <v>18.940000999999999</v>
      </c>
      <c r="F675" s="3">
        <v>15.907021</v>
      </c>
      <c r="G675" s="4">
        <v>2646000</v>
      </c>
      <c r="H675">
        <f t="shared" si="10"/>
        <v>1.4358183002609767E-2</v>
      </c>
    </row>
    <row r="676" spans="1:8" x14ac:dyDescent="0.3">
      <c r="A676" s="1">
        <v>42984</v>
      </c>
      <c r="B676" s="2">
        <v>19</v>
      </c>
      <c r="C676" s="2">
        <v>19.350000000000001</v>
      </c>
      <c r="D676" s="2">
        <v>18.989999999999998</v>
      </c>
      <c r="E676" s="2">
        <v>19.34</v>
      </c>
      <c r="F676" s="3">
        <v>16.242965999999999</v>
      </c>
      <c r="G676" s="4">
        <v>2920800</v>
      </c>
      <c r="H676">
        <f t="shared" si="10"/>
        <v>2.0899349468907182E-2</v>
      </c>
    </row>
    <row r="677" spans="1:8" x14ac:dyDescent="0.3">
      <c r="A677" s="1">
        <v>42985</v>
      </c>
      <c r="B677" s="2">
        <v>19.02</v>
      </c>
      <c r="C677" s="2">
        <v>19.34</v>
      </c>
      <c r="D677" s="2">
        <v>18.809999000000001</v>
      </c>
      <c r="E677" s="2">
        <v>18.850000000000001</v>
      </c>
      <c r="F677" s="3">
        <v>16.148728999999999</v>
      </c>
      <c r="G677" s="4">
        <v>2803000</v>
      </c>
      <c r="H677">
        <f t="shared" si="10"/>
        <v>-2.5662576131128417E-2</v>
      </c>
    </row>
    <row r="678" spans="1:8" x14ac:dyDescent="0.3">
      <c r="A678" s="1">
        <v>42986</v>
      </c>
      <c r="B678" s="2">
        <v>18.850000000000001</v>
      </c>
      <c r="C678" s="2">
        <v>19.190000999999999</v>
      </c>
      <c r="D678" s="2">
        <v>18.739999999999998</v>
      </c>
      <c r="E678" s="2">
        <v>19.149999999999999</v>
      </c>
      <c r="F678" s="3">
        <v>16.405739000000001</v>
      </c>
      <c r="G678" s="4">
        <v>2219200</v>
      </c>
      <c r="H678">
        <f t="shared" si="10"/>
        <v>1.5789801732635073E-2</v>
      </c>
    </row>
    <row r="679" spans="1:8" x14ac:dyDescent="0.3">
      <c r="A679" s="1">
        <v>42989</v>
      </c>
      <c r="B679" s="2">
        <v>19.209999</v>
      </c>
      <c r="C679" s="2">
        <v>19.450001</v>
      </c>
      <c r="D679" s="2">
        <v>19.129999000000002</v>
      </c>
      <c r="E679" s="2">
        <v>19.200001</v>
      </c>
      <c r="F679" s="3">
        <v>16.448574000000001</v>
      </c>
      <c r="G679" s="4">
        <v>2204600</v>
      </c>
      <c r="H679">
        <f t="shared" si="10"/>
        <v>2.6076154904129088E-3</v>
      </c>
    </row>
    <row r="680" spans="1:8" x14ac:dyDescent="0.3">
      <c r="A680" s="1">
        <v>42990</v>
      </c>
      <c r="B680" s="2">
        <v>19.260000000000002</v>
      </c>
      <c r="C680" s="2">
        <v>19.940000999999999</v>
      </c>
      <c r="D680" s="2">
        <v>19.209999</v>
      </c>
      <c r="E680" s="2">
        <v>19.530000999999999</v>
      </c>
      <c r="F680" s="3">
        <v>16.731285</v>
      </c>
      <c r="G680" s="4">
        <v>3347000</v>
      </c>
      <c r="H680">
        <f t="shared" si="10"/>
        <v>1.7041464974795428E-2</v>
      </c>
    </row>
    <row r="681" spans="1:8" x14ac:dyDescent="0.3">
      <c r="A681" s="1">
        <v>42991</v>
      </c>
      <c r="B681" s="2">
        <v>19.600000000000001</v>
      </c>
      <c r="C681" s="2">
        <v>20.040001</v>
      </c>
      <c r="D681" s="2">
        <v>19.549999</v>
      </c>
      <c r="E681" s="2">
        <v>20.02</v>
      </c>
      <c r="F681" s="3">
        <v>17.151066</v>
      </c>
      <c r="G681" s="4">
        <v>1755900</v>
      </c>
      <c r="H681">
        <f t="shared" si="10"/>
        <v>2.4779977795211305E-2</v>
      </c>
    </row>
    <row r="682" spans="1:8" x14ac:dyDescent="0.3">
      <c r="A682" s="1">
        <v>42992</v>
      </c>
      <c r="B682" s="2">
        <v>20.059999000000001</v>
      </c>
      <c r="C682" s="2">
        <v>20.299999</v>
      </c>
      <c r="D682" s="2">
        <v>19.889999</v>
      </c>
      <c r="E682" s="2">
        <v>20.079999999999998</v>
      </c>
      <c r="F682" s="3">
        <v>17.202465</v>
      </c>
      <c r="G682" s="4">
        <v>1921700</v>
      </c>
      <c r="H682">
        <f t="shared" si="10"/>
        <v>2.9925209364539294E-3</v>
      </c>
    </row>
    <row r="683" spans="1:8" x14ac:dyDescent="0.3">
      <c r="A683" s="1">
        <v>42993</v>
      </c>
      <c r="B683" s="2">
        <v>20.07</v>
      </c>
      <c r="C683" s="2">
        <v>20.440000999999999</v>
      </c>
      <c r="D683" s="2">
        <v>20</v>
      </c>
      <c r="E683" s="2">
        <v>20.290001</v>
      </c>
      <c r="F683" s="3">
        <v>17.382373999999999</v>
      </c>
      <c r="G683" s="4">
        <v>2505400</v>
      </c>
      <c r="H683">
        <f t="shared" si="10"/>
        <v>1.0403908299556069E-2</v>
      </c>
    </row>
    <row r="684" spans="1:8" x14ac:dyDescent="0.3">
      <c r="A684" s="1">
        <v>42996</v>
      </c>
      <c r="B684" s="2">
        <v>20.389999</v>
      </c>
      <c r="C684" s="2">
        <v>20.629999000000002</v>
      </c>
      <c r="D684" s="2">
        <v>20.100000000000001</v>
      </c>
      <c r="E684" s="2">
        <v>20.170000000000002</v>
      </c>
      <c r="F684" s="3">
        <v>17.279568000000001</v>
      </c>
      <c r="G684" s="4">
        <v>2095900</v>
      </c>
      <c r="H684">
        <f t="shared" si="10"/>
        <v>-5.9318511569639749E-3</v>
      </c>
    </row>
    <row r="685" spans="1:8" x14ac:dyDescent="0.3">
      <c r="A685" s="1">
        <v>42997</v>
      </c>
      <c r="B685" s="2">
        <v>20.170000000000002</v>
      </c>
      <c r="C685" s="2">
        <v>20.260000000000002</v>
      </c>
      <c r="D685" s="2">
        <v>19.920000000000002</v>
      </c>
      <c r="E685" s="2">
        <v>20.190000999999999</v>
      </c>
      <c r="F685" s="3">
        <v>17.296703000000001</v>
      </c>
      <c r="G685" s="4">
        <v>1360300</v>
      </c>
      <c r="H685">
        <f t="shared" si="10"/>
        <v>9.911298880944453E-4</v>
      </c>
    </row>
    <row r="686" spans="1:8" x14ac:dyDescent="0.3">
      <c r="A686" s="1">
        <v>42998</v>
      </c>
      <c r="B686" s="2">
        <v>20.129999000000002</v>
      </c>
      <c r="C686" s="2">
        <v>20.18</v>
      </c>
      <c r="D686" s="2">
        <v>20.010000000000002</v>
      </c>
      <c r="E686" s="2">
        <v>20.100000000000001</v>
      </c>
      <c r="F686" s="3">
        <v>17.219601000000001</v>
      </c>
      <c r="G686" s="4">
        <v>1215000</v>
      </c>
      <c r="H686">
        <f t="shared" si="10"/>
        <v>-4.467666789184776E-3</v>
      </c>
    </row>
    <row r="687" spans="1:8" x14ac:dyDescent="0.3">
      <c r="A687" s="1">
        <v>42999</v>
      </c>
      <c r="B687" s="2">
        <v>20</v>
      </c>
      <c r="C687" s="2">
        <v>20.190000999999999</v>
      </c>
      <c r="D687" s="2">
        <v>19.870000999999998</v>
      </c>
      <c r="E687" s="2">
        <v>19.889999</v>
      </c>
      <c r="F687" s="3">
        <v>17.039694000000001</v>
      </c>
      <c r="G687" s="4">
        <v>1415500</v>
      </c>
      <c r="H687">
        <f t="shared" si="10"/>
        <v>-1.0502772475671428E-2</v>
      </c>
    </row>
    <row r="688" spans="1:8" x14ac:dyDescent="0.3">
      <c r="A688" s="1">
        <v>43000</v>
      </c>
      <c r="B688" s="2">
        <v>19.870000999999998</v>
      </c>
      <c r="C688" s="2">
        <v>20.040001</v>
      </c>
      <c r="D688" s="2">
        <v>19.860001</v>
      </c>
      <c r="E688" s="2">
        <v>20.010000000000002</v>
      </c>
      <c r="F688" s="3">
        <v>17.142496000000001</v>
      </c>
      <c r="G688" s="4">
        <v>1000900</v>
      </c>
      <c r="H688">
        <f t="shared" si="10"/>
        <v>6.0151060062834574E-3</v>
      </c>
    </row>
    <row r="689" spans="1:8" x14ac:dyDescent="0.3">
      <c r="A689" s="1">
        <v>43003</v>
      </c>
      <c r="B689" s="2">
        <v>20.030000999999999</v>
      </c>
      <c r="C689" s="2">
        <v>20.469999000000001</v>
      </c>
      <c r="D689" s="2">
        <v>20.010000000000002</v>
      </c>
      <c r="E689" s="2">
        <v>20.440000999999999</v>
      </c>
      <c r="F689" s="3">
        <v>17.510878000000002</v>
      </c>
      <c r="G689" s="4">
        <v>1158800</v>
      </c>
      <c r="H689">
        <f t="shared" si="10"/>
        <v>2.1261665663539354E-2</v>
      </c>
    </row>
    <row r="690" spans="1:8" x14ac:dyDescent="0.3">
      <c r="A690" s="1">
        <v>43004</v>
      </c>
      <c r="B690" s="2">
        <v>20.549999</v>
      </c>
      <c r="C690" s="2">
        <v>20.77</v>
      </c>
      <c r="D690" s="2">
        <v>20.34</v>
      </c>
      <c r="E690" s="2">
        <v>20.65</v>
      </c>
      <c r="F690" s="3">
        <v>17.690784000000001</v>
      </c>
      <c r="G690" s="4">
        <v>2130100</v>
      </c>
      <c r="H690">
        <f t="shared" si="10"/>
        <v>1.0221505147860284E-2</v>
      </c>
    </row>
    <row r="691" spans="1:8" x14ac:dyDescent="0.3">
      <c r="A691" s="1">
        <v>43005</v>
      </c>
      <c r="B691" s="2">
        <v>20.780000999999999</v>
      </c>
      <c r="C691" s="2">
        <v>20.969999000000001</v>
      </c>
      <c r="D691" s="2">
        <v>20.5</v>
      </c>
      <c r="E691" s="2">
        <v>20.85</v>
      </c>
      <c r="F691" s="3">
        <v>17.862123</v>
      </c>
      <c r="G691" s="4">
        <v>2048400</v>
      </c>
      <c r="H691">
        <f t="shared" si="10"/>
        <v>9.6386288377687934E-3</v>
      </c>
    </row>
    <row r="692" spans="1:8" x14ac:dyDescent="0.3">
      <c r="A692" s="1">
        <v>43006</v>
      </c>
      <c r="B692" s="2">
        <v>20.809999000000001</v>
      </c>
      <c r="C692" s="2">
        <v>20.93</v>
      </c>
      <c r="D692" s="2">
        <v>20.610001</v>
      </c>
      <c r="E692" s="2">
        <v>20.790001</v>
      </c>
      <c r="F692" s="3">
        <v>17.810724</v>
      </c>
      <c r="G692" s="4">
        <v>1720900</v>
      </c>
      <c r="H692">
        <f t="shared" si="10"/>
        <v>-2.8817982748420116E-3</v>
      </c>
    </row>
    <row r="693" spans="1:8" x14ac:dyDescent="0.3">
      <c r="A693" s="1">
        <v>43007</v>
      </c>
      <c r="B693" s="2">
        <v>20.799999</v>
      </c>
      <c r="C693" s="2">
        <v>20.85</v>
      </c>
      <c r="D693" s="2">
        <v>20.52</v>
      </c>
      <c r="E693" s="2">
        <v>20.66</v>
      </c>
      <c r="F693" s="3">
        <v>17.699349999999999</v>
      </c>
      <c r="G693" s="4">
        <v>1565700</v>
      </c>
      <c r="H693">
        <f t="shared" si="10"/>
        <v>-6.272686278476017E-3</v>
      </c>
    </row>
    <row r="694" spans="1:8" x14ac:dyDescent="0.3">
      <c r="A694" s="1">
        <v>43010</v>
      </c>
      <c r="B694" s="2">
        <v>20.65</v>
      </c>
      <c r="C694" s="2">
        <v>20.68</v>
      </c>
      <c r="D694" s="2">
        <v>20.350000000000001</v>
      </c>
      <c r="E694" s="2">
        <v>20.469999000000001</v>
      </c>
      <c r="F694" s="3">
        <v>17.536577000000001</v>
      </c>
      <c r="G694" s="4">
        <v>1559700</v>
      </c>
      <c r="H694">
        <f t="shared" si="10"/>
        <v>-9.2391128702740202E-3</v>
      </c>
    </row>
    <row r="695" spans="1:8" x14ac:dyDescent="0.3">
      <c r="A695" s="1">
        <v>43011</v>
      </c>
      <c r="B695" s="2">
        <v>20.5</v>
      </c>
      <c r="C695" s="2">
        <v>20.51</v>
      </c>
      <c r="D695" s="2">
        <v>20.09</v>
      </c>
      <c r="E695" s="2">
        <v>20.209999</v>
      </c>
      <c r="F695" s="3">
        <v>17.313835000000001</v>
      </c>
      <c r="G695" s="4">
        <v>1390300</v>
      </c>
      <c r="H695">
        <f t="shared" si="10"/>
        <v>-1.2782868886145394E-2</v>
      </c>
    </row>
    <row r="696" spans="1:8" x14ac:dyDescent="0.3">
      <c r="A696" s="1">
        <v>43012</v>
      </c>
      <c r="B696" s="2">
        <v>20.09</v>
      </c>
      <c r="C696" s="2">
        <v>20.290001</v>
      </c>
      <c r="D696" s="2">
        <v>20.030000999999999</v>
      </c>
      <c r="E696" s="2">
        <v>20.25</v>
      </c>
      <c r="F696" s="3">
        <v>17.348106000000001</v>
      </c>
      <c r="G696" s="4">
        <v>1183800</v>
      </c>
      <c r="H696">
        <f t="shared" si="10"/>
        <v>1.9773116174750609E-3</v>
      </c>
    </row>
    <row r="697" spans="1:8" x14ac:dyDescent="0.3">
      <c r="A697" s="1">
        <v>43013</v>
      </c>
      <c r="B697" s="2">
        <v>20.299999</v>
      </c>
      <c r="C697" s="2">
        <v>20.530000999999999</v>
      </c>
      <c r="D697" s="2">
        <v>20.219999000000001</v>
      </c>
      <c r="E697" s="2">
        <v>20.52</v>
      </c>
      <c r="F697" s="3">
        <v>17.579412000000001</v>
      </c>
      <c r="G697" s="4">
        <v>1146000</v>
      </c>
      <c r="H697">
        <f t="shared" si="10"/>
        <v>1.3245226750020723E-2</v>
      </c>
    </row>
    <row r="698" spans="1:8" x14ac:dyDescent="0.3">
      <c r="A698" s="1">
        <v>43014</v>
      </c>
      <c r="B698" s="2">
        <v>20.41</v>
      </c>
      <c r="C698" s="2">
        <v>20.49</v>
      </c>
      <c r="D698" s="2">
        <v>20.02</v>
      </c>
      <c r="E698" s="2">
        <v>20.02</v>
      </c>
      <c r="F698" s="3">
        <v>17.151066</v>
      </c>
      <c r="G698" s="4">
        <v>1651800</v>
      </c>
      <c r="H698">
        <f t="shared" si="10"/>
        <v>-2.4668246415494286E-2</v>
      </c>
    </row>
    <row r="699" spans="1:8" x14ac:dyDescent="0.3">
      <c r="A699" s="1">
        <v>43017</v>
      </c>
      <c r="B699" s="2">
        <v>20.07</v>
      </c>
      <c r="C699" s="2">
        <v>20.25</v>
      </c>
      <c r="D699" s="2">
        <v>19.989999999999998</v>
      </c>
      <c r="E699" s="2">
        <v>20.149999999999999</v>
      </c>
      <c r="F699" s="3">
        <v>17.262436000000001</v>
      </c>
      <c r="G699" s="4">
        <v>1799900</v>
      </c>
      <c r="H699">
        <f t="shared" si="10"/>
        <v>6.4725145056175196E-3</v>
      </c>
    </row>
    <row r="700" spans="1:8" x14ac:dyDescent="0.3">
      <c r="A700" s="1">
        <v>43018</v>
      </c>
      <c r="B700" s="2">
        <v>20.190000999999999</v>
      </c>
      <c r="C700" s="2">
        <v>20.290001</v>
      </c>
      <c r="D700" s="2">
        <v>19.950001</v>
      </c>
      <c r="E700" s="2">
        <v>20.23</v>
      </c>
      <c r="F700" s="3">
        <v>17.330971000000002</v>
      </c>
      <c r="G700" s="4">
        <v>1763300</v>
      </c>
      <c r="H700">
        <f t="shared" si="10"/>
        <v>3.9623627869621019E-3</v>
      </c>
    </row>
    <row r="701" spans="1:8" x14ac:dyDescent="0.3">
      <c r="A701" s="1">
        <v>43019</v>
      </c>
      <c r="B701" s="2">
        <v>20.219999000000001</v>
      </c>
      <c r="C701" s="2">
        <v>20.219999000000001</v>
      </c>
      <c r="D701" s="2">
        <v>19.459999</v>
      </c>
      <c r="E701" s="2">
        <v>19.59</v>
      </c>
      <c r="F701" s="3">
        <v>16.782684</v>
      </c>
      <c r="G701" s="4">
        <v>2309000</v>
      </c>
      <c r="H701">
        <f t="shared" si="10"/>
        <v>-3.2147419223204736E-2</v>
      </c>
    </row>
    <row r="702" spans="1:8" x14ac:dyDescent="0.3">
      <c r="A702" s="1">
        <v>43020</v>
      </c>
      <c r="B702" s="2">
        <v>19.59</v>
      </c>
      <c r="C702" s="2">
        <v>19.690000999999999</v>
      </c>
      <c r="D702" s="2">
        <v>19.32</v>
      </c>
      <c r="E702" s="2">
        <v>19.5</v>
      </c>
      <c r="F702" s="3">
        <v>16.705582</v>
      </c>
      <c r="G702" s="4">
        <v>1775800</v>
      </c>
      <c r="H702">
        <f t="shared" si="10"/>
        <v>-4.6047663867482902E-3</v>
      </c>
    </row>
    <row r="703" spans="1:8" x14ac:dyDescent="0.3">
      <c r="A703" s="1">
        <v>43021</v>
      </c>
      <c r="B703" s="2">
        <v>19.639999</v>
      </c>
      <c r="C703" s="2">
        <v>19.77</v>
      </c>
      <c r="D703" s="2">
        <v>19.510000000000002</v>
      </c>
      <c r="E703" s="2">
        <v>19.709999</v>
      </c>
      <c r="F703" s="3">
        <v>16.885487000000001</v>
      </c>
      <c r="G703" s="4">
        <v>1092900</v>
      </c>
      <c r="H703">
        <f t="shared" si="10"/>
        <v>1.0711604859259141E-2</v>
      </c>
    </row>
    <row r="704" spans="1:8" x14ac:dyDescent="0.3">
      <c r="A704" s="1">
        <v>43024</v>
      </c>
      <c r="B704" s="2">
        <v>19.690000999999999</v>
      </c>
      <c r="C704" s="2">
        <v>19.700001</v>
      </c>
      <c r="D704" s="2">
        <v>19.200001</v>
      </c>
      <c r="E704" s="2">
        <v>19.41</v>
      </c>
      <c r="F704" s="3">
        <v>16.628478999999999</v>
      </c>
      <c r="G704" s="4">
        <v>1514700</v>
      </c>
      <c r="H704">
        <f t="shared" si="10"/>
        <v>-1.5337673248041429E-2</v>
      </c>
    </row>
    <row r="705" spans="1:8" x14ac:dyDescent="0.3">
      <c r="A705" s="1">
        <v>43025</v>
      </c>
      <c r="B705" s="2">
        <v>19.459999</v>
      </c>
      <c r="C705" s="2">
        <v>19.700001</v>
      </c>
      <c r="D705" s="2">
        <v>19.350000000000001</v>
      </c>
      <c r="E705" s="2">
        <v>19.66</v>
      </c>
      <c r="F705" s="3">
        <v>16.842652999999999</v>
      </c>
      <c r="G705" s="4">
        <v>1251100</v>
      </c>
      <c r="H705">
        <f t="shared" si="10"/>
        <v>1.2797717538101664E-2</v>
      </c>
    </row>
    <row r="706" spans="1:8" x14ac:dyDescent="0.3">
      <c r="A706" s="1">
        <v>43026</v>
      </c>
      <c r="B706" s="2">
        <v>19.719999000000001</v>
      </c>
      <c r="C706" s="2">
        <v>20.09</v>
      </c>
      <c r="D706" s="2">
        <v>19.620000999999998</v>
      </c>
      <c r="E706" s="2">
        <v>20.049999</v>
      </c>
      <c r="F706" s="3">
        <v>17.176765</v>
      </c>
      <c r="G706" s="4">
        <v>1912200</v>
      </c>
      <c r="H706">
        <f t="shared" si="10"/>
        <v>1.964298915824467E-2</v>
      </c>
    </row>
    <row r="707" spans="1:8" x14ac:dyDescent="0.3">
      <c r="A707" s="1">
        <v>43027</v>
      </c>
      <c r="B707" s="2">
        <v>20.010000000000002</v>
      </c>
      <c r="C707" s="2">
        <v>20.149999999999999</v>
      </c>
      <c r="D707" s="2">
        <v>19.93</v>
      </c>
      <c r="E707" s="2">
        <v>20.049999</v>
      </c>
      <c r="F707" s="3">
        <v>17.176765</v>
      </c>
      <c r="G707" s="4">
        <v>1271600</v>
      </c>
      <c r="H707">
        <f t="shared" si="10"/>
        <v>0</v>
      </c>
    </row>
    <row r="708" spans="1:8" x14ac:dyDescent="0.3">
      <c r="A708" s="1">
        <v>43028</v>
      </c>
      <c r="B708" s="2">
        <v>20.129999000000002</v>
      </c>
      <c r="C708" s="2">
        <v>20.32</v>
      </c>
      <c r="D708" s="2">
        <v>20.040001</v>
      </c>
      <c r="E708" s="2">
        <v>20.129999000000002</v>
      </c>
      <c r="F708" s="3">
        <v>17.2453</v>
      </c>
      <c r="G708" s="4">
        <v>1690200</v>
      </c>
      <c r="H708">
        <f t="shared" ref="H708:H771" si="11">LN(E708/E707)</f>
        <v>3.9820860973349909E-3</v>
      </c>
    </row>
    <row r="709" spans="1:8" x14ac:dyDescent="0.3">
      <c r="A709" s="1">
        <v>43031</v>
      </c>
      <c r="B709" s="2">
        <v>20.139999</v>
      </c>
      <c r="C709" s="2">
        <v>20.549999</v>
      </c>
      <c r="D709" s="2">
        <v>20.139999</v>
      </c>
      <c r="E709" s="2">
        <v>20.280000999999999</v>
      </c>
      <c r="F709" s="3">
        <v>17.373805999999998</v>
      </c>
      <c r="G709" s="4">
        <v>1703600</v>
      </c>
      <c r="H709">
        <f t="shared" si="11"/>
        <v>7.4240380580458025E-3</v>
      </c>
    </row>
    <row r="710" spans="1:8" x14ac:dyDescent="0.3">
      <c r="A710" s="1">
        <v>43032</v>
      </c>
      <c r="B710" s="2">
        <v>20.420000000000002</v>
      </c>
      <c r="C710" s="2">
        <v>20.48</v>
      </c>
      <c r="D710" s="2">
        <v>19.940000999999999</v>
      </c>
      <c r="E710" s="2">
        <v>19.959999</v>
      </c>
      <c r="F710" s="3">
        <v>17.099663</v>
      </c>
      <c r="G710" s="4">
        <v>1701200</v>
      </c>
      <c r="H710">
        <f t="shared" si="11"/>
        <v>-1.5905007249529566E-2</v>
      </c>
    </row>
    <row r="711" spans="1:8" x14ac:dyDescent="0.3">
      <c r="A711" s="1">
        <v>43033</v>
      </c>
      <c r="B711" s="2">
        <v>19.959999</v>
      </c>
      <c r="C711" s="2">
        <v>20</v>
      </c>
      <c r="D711" s="2">
        <v>19.34</v>
      </c>
      <c r="E711" s="2">
        <v>19.610001</v>
      </c>
      <c r="F711" s="3">
        <v>16.79982</v>
      </c>
      <c r="G711" s="4">
        <v>2578400</v>
      </c>
      <c r="H711">
        <f t="shared" si="11"/>
        <v>-1.7690529580472007E-2</v>
      </c>
    </row>
    <row r="712" spans="1:8" x14ac:dyDescent="0.3">
      <c r="A712" s="1">
        <v>43034</v>
      </c>
      <c r="B712" s="2">
        <v>19.549999</v>
      </c>
      <c r="C712" s="2">
        <v>19.739999999999998</v>
      </c>
      <c r="D712" s="2">
        <v>19.27</v>
      </c>
      <c r="E712" s="2">
        <v>19.510000000000002</v>
      </c>
      <c r="F712" s="3">
        <v>16.714151000000001</v>
      </c>
      <c r="G712" s="4">
        <v>2142100</v>
      </c>
      <c r="H712">
        <f t="shared" si="11"/>
        <v>-5.11253656762428E-3</v>
      </c>
    </row>
    <row r="713" spans="1:8" x14ac:dyDescent="0.3">
      <c r="A713" s="1">
        <v>43035</v>
      </c>
      <c r="B713" s="2">
        <v>19.399999999999999</v>
      </c>
      <c r="C713" s="2">
        <v>19.450001</v>
      </c>
      <c r="D713" s="2">
        <v>18.920000000000002</v>
      </c>
      <c r="E713" s="2">
        <v>19.34</v>
      </c>
      <c r="F713" s="3">
        <v>16.56851</v>
      </c>
      <c r="G713" s="4">
        <v>2230200</v>
      </c>
      <c r="H713">
        <f t="shared" si="11"/>
        <v>-8.7516646098716629E-3</v>
      </c>
    </row>
    <row r="714" spans="1:8" x14ac:dyDescent="0.3">
      <c r="A714" s="1">
        <v>43038</v>
      </c>
      <c r="B714" s="2">
        <v>19.43</v>
      </c>
      <c r="C714" s="2">
        <v>19.469999000000001</v>
      </c>
      <c r="D714" s="2">
        <v>18.600000000000001</v>
      </c>
      <c r="E714" s="2">
        <v>18.77</v>
      </c>
      <c r="F714" s="3">
        <v>16.080193999999999</v>
      </c>
      <c r="G714" s="4">
        <v>2252000</v>
      </c>
      <c r="H714">
        <f t="shared" si="11"/>
        <v>-2.9915639426730856E-2</v>
      </c>
    </row>
    <row r="715" spans="1:8" x14ac:dyDescent="0.3">
      <c r="A715" s="1">
        <v>43039</v>
      </c>
      <c r="B715" s="2">
        <v>18.889999</v>
      </c>
      <c r="C715" s="2">
        <v>19.040001</v>
      </c>
      <c r="D715" s="2">
        <v>18.59</v>
      </c>
      <c r="E715" s="2">
        <v>18.690000999999999</v>
      </c>
      <c r="F715" s="3">
        <v>16.011658000000001</v>
      </c>
      <c r="G715" s="4">
        <v>2193900</v>
      </c>
      <c r="H715">
        <f t="shared" si="11"/>
        <v>-4.2711756263995367E-3</v>
      </c>
    </row>
    <row r="716" spans="1:8" x14ac:dyDescent="0.3">
      <c r="A716" s="1">
        <v>43040</v>
      </c>
      <c r="B716" s="2">
        <v>18.670000000000002</v>
      </c>
      <c r="C716" s="2">
        <v>18.950001</v>
      </c>
      <c r="D716" s="2">
        <v>18.530000999999999</v>
      </c>
      <c r="E716" s="2">
        <v>18.600000000000001</v>
      </c>
      <c r="F716" s="3">
        <v>15.934556000000001</v>
      </c>
      <c r="G716" s="4">
        <v>2488700</v>
      </c>
      <c r="H716">
        <f t="shared" si="11"/>
        <v>-4.8270942528622516E-3</v>
      </c>
    </row>
    <row r="717" spans="1:8" x14ac:dyDescent="0.3">
      <c r="A717" s="1">
        <v>43041</v>
      </c>
      <c r="B717" s="2">
        <v>18.600000000000001</v>
      </c>
      <c r="C717" s="2">
        <v>18.600000000000001</v>
      </c>
      <c r="D717" s="2">
        <v>18.219999000000001</v>
      </c>
      <c r="E717" s="2">
        <v>18.510000000000002</v>
      </c>
      <c r="F717" s="3">
        <v>15.857452</v>
      </c>
      <c r="G717" s="4">
        <v>2904600</v>
      </c>
      <c r="H717">
        <f t="shared" si="11"/>
        <v>-4.8504541337494661E-3</v>
      </c>
    </row>
    <row r="718" spans="1:8" x14ac:dyDescent="0.3">
      <c r="A718" s="1">
        <v>43042</v>
      </c>
      <c r="B718" s="2">
        <v>18.5</v>
      </c>
      <c r="C718" s="2">
        <v>18.549999</v>
      </c>
      <c r="D718" s="2">
        <v>18.100000000000001</v>
      </c>
      <c r="E718" s="2">
        <v>18.100000000000001</v>
      </c>
      <c r="F718" s="3">
        <v>15.506207</v>
      </c>
      <c r="G718" s="4">
        <v>2020400</v>
      </c>
      <c r="H718">
        <f t="shared" si="11"/>
        <v>-2.2399188313626028E-2</v>
      </c>
    </row>
    <row r="719" spans="1:8" x14ac:dyDescent="0.3">
      <c r="A719" s="1">
        <v>43045</v>
      </c>
      <c r="B719" s="2">
        <v>18.07</v>
      </c>
      <c r="C719" s="2">
        <v>18.209999</v>
      </c>
      <c r="D719" s="2">
        <v>17.709999</v>
      </c>
      <c r="E719" s="2">
        <v>17.829999999999998</v>
      </c>
      <c r="F719" s="3">
        <v>15.274899</v>
      </c>
      <c r="G719" s="4">
        <v>3049000</v>
      </c>
      <c r="H719">
        <f t="shared" si="11"/>
        <v>-1.5029506396731175E-2</v>
      </c>
    </row>
    <row r="720" spans="1:8" x14ac:dyDescent="0.3">
      <c r="A720" s="1">
        <v>43046</v>
      </c>
      <c r="B720" s="2">
        <v>17.879999000000002</v>
      </c>
      <c r="C720" s="2">
        <v>17.989999999999998</v>
      </c>
      <c r="D720" s="2">
        <v>17.07</v>
      </c>
      <c r="E720" s="2">
        <v>17.110001</v>
      </c>
      <c r="F720" s="3">
        <v>14.658078</v>
      </c>
      <c r="G720" s="4">
        <v>2844400</v>
      </c>
      <c r="H720">
        <f t="shared" si="11"/>
        <v>-4.1219285525594916E-2</v>
      </c>
    </row>
    <row r="721" spans="1:8" x14ac:dyDescent="0.3">
      <c r="A721" s="1">
        <v>43047</v>
      </c>
      <c r="B721" s="2">
        <v>17.170000000000002</v>
      </c>
      <c r="C721" s="2">
        <v>17.290001</v>
      </c>
      <c r="D721" s="2">
        <v>16.98</v>
      </c>
      <c r="E721" s="2">
        <v>17.200001</v>
      </c>
      <c r="F721" s="3">
        <v>14.735182999999999</v>
      </c>
      <c r="G721" s="4">
        <v>2230400</v>
      </c>
      <c r="H721">
        <f t="shared" si="11"/>
        <v>5.2462956094865634E-3</v>
      </c>
    </row>
    <row r="722" spans="1:8" x14ac:dyDescent="0.3">
      <c r="A722" s="1">
        <v>43048</v>
      </c>
      <c r="B722" s="2">
        <v>17.139999</v>
      </c>
      <c r="C722" s="2">
        <v>17.989999999999998</v>
      </c>
      <c r="D722" s="2">
        <v>17.110001</v>
      </c>
      <c r="E722" s="2">
        <v>17.559999000000001</v>
      </c>
      <c r="F722" s="3">
        <v>15.043590999999999</v>
      </c>
      <c r="G722" s="4">
        <v>2862900</v>
      </c>
      <c r="H722">
        <f t="shared" si="11"/>
        <v>2.0714089300420381E-2</v>
      </c>
    </row>
    <row r="723" spans="1:8" x14ac:dyDescent="0.3">
      <c r="A723" s="1">
        <v>43049</v>
      </c>
      <c r="B723" s="2">
        <v>17.420000000000002</v>
      </c>
      <c r="C723" s="2">
        <v>17.420000000000002</v>
      </c>
      <c r="D723" s="2">
        <v>16.219999000000001</v>
      </c>
      <c r="E723" s="2">
        <v>16.43</v>
      </c>
      <c r="F723" s="3">
        <v>14.075525000000001</v>
      </c>
      <c r="G723" s="4">
        <v>5787400</v>
      </c>
      <c r="H723">
        <f t="shared" si="11"/>
        <v>-6.6514599210184211E-2</v>
      </c>
    </row>
    <row r="724" spans="1:8" x14ac:dyDescent="0.3">
      <c r="A724" s="1">
        <v>43052</v>
      </c>
      <c r="B724" s="2">
        <v>16.43</v>
      </c>
      <c r="C724" s="2">
        <v>16.84</v>
      </c>
      <c r="D724" s="2">
        <v>15.91</v>
      </c>
      <c r="E724" s="2">
        <v>16.200001</v>
      </c>
      <c r="F724" s="3">
        <v>13.878484</v>
      </c>
      <c r="G724" s="4">
        <v>4374700</v>
      </c>
      <c r="H724">
        <f t="shared" si="11"/>
        <v>-1.4097628082445118E-2</v>
      </c>
    </row>
    <row r="725" spans="1:8" x14ac:dyDescent="0.3">
      <c r="A725" s="1">
        <v>43053</v>
      </c>
      <c r="B725" s="2">
        <v>16.100000000000001</v>
      </c>
      <c r="C725" s="2">
        <v>16.379999000000002</v>
      </c>
      <c r="D725" s="2">
        <v>15.85</v>
      </c>
      <c r="E725" s="2">
        <v>16.190000999999999</v>
      </c>
      <c r="F725" s="3">
        <v>13.869918</v>
      </c>
      <c r="G725" s="4">
        <v>3517800</v>
      </c>
      <c r="H725">
        <f t="shared" si="11"/>
        <v>-6.1747451066728712E-4</v>
      </c>
    </row>
    <row r="726" spans="1:8" x14ac:dyDescent="0.3">
      <c r="A726" s="1">
        <v>43054</v>
      </c>
      <c r="B726" s="2">
        <v>16.079999999999998</v>
      </c>
      <c r="C726" s="2">
        <v>16.5</v>
      </c>
      <c r="D726" s="2">
        <v>15.85</v>
      </c>
      <c r="E726" s="2">
        <v>16</v>
      </c>
      <c r="F726" s="3">
        <v>13.707144</v>
      </c>
      <c r="G726" s="4">
        <v>3821500</v>
      </c>
      <c r="H726">
        <f t="shared" si="11"/>
        <v>-1.1805107216283037E-2</v>
      </c>
    </row>
    <row r="727" spans="1:8" x14ac:dyDescent="0.3">
      <c r="A727" s="1">
        <v>43055</v>
      </c>
      <c r="B727" s="2">
        <v>16.010000000000002</v>
      </c>
      <c r="C727" s="2">
        <v>16.790001</v>
      </c>
      <c r="D727" s="2">
        <v>16.010000000000002</v>
      </c>
      <c r="E727" s="2">
        <v>16.18</v>
      </c>
      <c r="F727" s="3">
        <v>13.86135</v>
      </c>
      <c r="G727" s="4">
        <v>4855100</v>
      </c>
      <c r="H727">
        <f t="shared" si="11"/>
        <v>1.1187189390564376E-2</v>
      </c>
    </row>
    <row r="728" spans="1:8" x14ac:dyDescent="0.3">
      <c r="A728" s="1">
        <v>43056</v>
      </c>
      <c r="B728" s="2">
        <v>16.309999000000001</v>
      </c>
      <c r="C728" s="2">
        <v>16.579999999999998</v>
      </c>
      <c r="D728" s="2">
        <v>16.149999999999999</v>
      </c>
      <c r="E728" s="2">
        <v>16.309999000000001</v>
      </c>
      <c r="F728" s="3">
        <v>13.972721</v>
      </c>
      <c r="G728" s="4">
        <v>3194500</v>
      </c>
      <c r="H728">
        <f t="shared" si="11"/>
        <v>8.0024436904965104E-3</v>
      </c>
    </row>
    <row r="729" spans="1:8" x14ac:dyDescent="0.3">
      <c r="A729" s="1">
        <v>43059</v>
      </c>
      <c r="B729" s="2">
        <v>16.399999999999999</v>
      </c>
      <c r="C729" s="2">
        <v>16.459999</v>
      </c>
      <c r="D729" s="2">
        <v>16.030000999999999</v>
      </c>
      <c r="E729" s="2">
        <v>16.440000999999999</v>
      </c>
      <c r="F729" s="3">
        <v>14.08409</v>
      </c>
      <c r="G729" s="4">
        <v>3796700</v>
      </c>
      <c r="H729">
        <f t="shared" si="11"/>
        <v>7.9390951344402872E-3</v>
      </c>
    </row>
    <row r="730" spans="1:8" x14ac:dyDescent="0.3">
      <c r="A730" s="1">
        <v>43060</v>
      </c>
      <c r="B730" s="2">
        <v>16.5</v>
      </c>
      <c r="C730" s="2">
        <v>16.790001</v>
      </c>
      <c r="D730" s="2">
        <v>16.260000000000002</v>
      </c>
      <c r="E730" s="2">
        <v>16.73</v>
      </c>
      <c r="F730" s="3">
        <v>14.332533</v>
      </c>
      <c r="G730" s="4">
        <v>9352400</v>
      </c>
      <c r="H730">
        <f t="shared" si="11"/>
        <v>1.7486064543450121E-2</v>
      </c>
    </row>
    <row r="731" spans="1:8" x14ac:dyDescent="0.3">
      <c r="A731" s="1">
        <v>43061</v>
      </c>
      <c r="B731" s="2">
        <v>17.850000000000001</v>
      </c>
      <c r="C731" s="2">
        <v>18.700001</v>
      </c>
      <c r="D731" s="2">
        <v>17.299999</v>
      </c>
      <c r="E731" s="2">
        <v>17.370000999999998</v>
      </c>
      <c r="F731" s="3">
        <v>14.88082</v>
      </c>
      <c r="G731" s="4">
        <v>20142400</v>
      </c>
      <c r="H731">
        <f t="shared" si="11"/>
        <v>3.7541122824803125E-2</v>
      </c>
    </row>
    <row r="732" spans="1:8" x14ac:dyDescent="0.3">
      <c r="A732" s="1">
        <v>43063</v>
      </c>
      <c r="B732" s="2">
        <v>17.43</v>
      </c>
      <c r="C732" s="2">
        <v>18.18</v>
      </c>
      <c r="D732" s="2">
        <v>17.350000000000001</v>
      </c>
      <c r="E732" s="2">
        <v>17.420000000000002</v>
      </c>
      <c r="F732" s="3">
        <v>14.923654000000001</v>
      </c>
      <c r="G732" s="4">
        <v>6474200</v>
      </c>
      <c r="H732">
        <f t="shared" si="11"/>
        <v>2.8743336008212189E-3</v>
      </c>
    </row>
    <row r="733" spans="1:8" x14ac:dyDescent="0.3">
      <c r="A733" s="1">
        <v>43066</v>
      </c>
      <c r="B733" s="2">
        <v>17.59</v>
      </c>
      <c r="C733" s="2">
        <v>18.190000999999999</v>
      </c>
      <c r="D733" s="2">
        <v>17.59</v>
      </c>
      <c r="E733" s="2">
        <v>18.170000000000002</v>
      </c>
      <c r="F733" s="3">
        <v>15.566176</v>
      </c>
      <c r="G733" s="4">
        <v>5846800</v>
      </c>
      <c r="H733">
        <f t="shared" si="11"/>
        <v>4.2152910983723077E-2</v>
      </c>
    </row>
    <row r="734" spans="1:8" x14ac:dyDescent="0.3">
      <c r="A734" s="1">
        <v>43067</v>
      </c>
      <c r="B734" s="2">
        <v>18.170000000000002</v>
      </c>
      <c r="C734" s="2">
        <v>19.059999000000001</v>
      </c>
      <c r="D734" s="2">
        <v>18.170000000000002</v>
      </c>
      <c r="E734" s="2">
        <v>19.02</v>
      </c>
      <c r="F734" s="3">
        <v>16.294367000000001</v>
      </c>
      <c r="G734" s="4">
        <v>5883400</v>
      </c>
      <c r="H734">
        <f t="shared" si="11"/>
        <v>4.5719174709164354E-2</v>
      </c>
    </row>
    <row r="735" spans="1:8" x14ac:dyDescent="0.3">
      <c r="A735" s="1">
        <v>43068</v>
      </c>
      <c r="B735" s="2">
        <v>19.09</v>
      </c>
      <c r="C735" s="2">
        <v>19.690000999999999</v>
      </c>
      <c r="D735" s="2">
        <v>19.059999000000001</v>
      </c>
      <c r="E735" s="2">
        <v>19.52</v>
      </c>
      <c r="F735" s="3">
        <v>16.722716999999999</v>
      </c>
      <c r="G735" s="4">
        <v>6477300</v>
      </c>
      <c r="H735">
        <f t="shared" si="11"/>
        <v>2.5948523867702238E-2</v>
      </c>
    </row>
    <row r="736" spans="1:8" x14ac:dyDescent="0.3">
      <c r="A736" s="1">
        <v>43069</v>
      </c>
      <c r="B736" s="2">
        <v>19.219999000000001</v>
      </c>
      <c r="C736" s="2">
        <v>19.34</v>
      </c>
      <c r="D736" s="2">
        <v>18.700001</v>
      </c>
      <c r="E736" s="2">
        <v>18.75</v>
      </c>
      <c r="F736" s="3">
        <v>16.381972999999999</v>
      </c>
      <c r="G736" s="4">
        <v>5024700</v>
      </c>
      <c r="H736">
        <f t="shared" si="11"/>
        <v>-4.0245828568526612E-2</v>
      </c>
    </row>
    <row r="737" spans="1:8" x14ac:dyDescent="0.3">
      <c r="A737" s="1">
        <v>43070</v>
      </c>
      <c r="B737" s="2">
        <v>18.73</v>
      </c>
      <c r="C737" s="2">
        <v>19.16</v>
      </c>
      <c r="D737" s="2">
        <v>18.48</v>
      </c>
      <c r="E737" s="2">
        <v>18.77</v>
      </c>
      <c r="F737" s="3">
        <v>16.399446000000001</v>
      </c>
      <c r="G737" s="4">
        <v>3831900</v>
      </c>
      <c r="H737">
        <f t="shared" si="11"/>
        <v>1.0660981819975116E-3</v>
      </c>
    </row>
    <row r="738" spans="1:8" x14ac:dyDescent="0.3">
      <c r="A738" s="1">
        <v>43073</v>
      </c>
      <c r="B738" s="2">
        <v>19.040001</v>
      </c>
      <c r="C738" s="2">
        <v>19.860001</v>
      </c>
      <c r="D738" s="2">
        <v>18.989999999999998</v>
      </c>
      <c r="E738" s="2">
        <v>19.399999999999999</v>
      </c>
      <c r="F738" s="3">
        <v>16.949881000000001</v>
      </c>
      <c r="G738" s="4">
        <v>4361300</v>
      </c>
      <c r="H738">
        <f t="shared" si="11"/>
        <v>3.3013215470864964E-2</v>
      </c>
    </row>
    <row r="739" spans="1:8" x14ac:dyDescent="0.3">
      <c r="A739" s="1">
        <v>43074</v>
      </c>
      <c r="B739" s="2">
        <v>19.530000999999999</v>
      </c>
      <c r="C739" s="2">
        <v>19.649999999999999</v>
      </c>
      <c r="D739" s="2">
        <v>18.950001</v>
      </c>
      <c r="E739" s="2">
        <v>19.27</v>
      </c>
      <c r="F739" s="3">
        <v>16.836300000000001</v>
      </c>
      <c r="G739" s="4">
        <v>3080900</v>
      </c>
      <c r="H739">
        <f t="shared" si="11"/>
        <v>-6.7235836430074008E-3</v>
      </c>
    </row>
    <row r="740" spans="1:8" x14ac:dyDescent="0.3">
      <c r="A740" s="1">
        <v>43075</v>
      </c>
      <c r="B740" s="2">
        <v>19.27</v>
      </c>
      <c r="C740" s="2">
        <v>19.350000000000001</v>
      </c>
      <c r="D740" s="2">
        <v>18.93</v>
      </c>
      <c r="E740" s="2">
        <v>19.010000000000002</v>
      </c>
      <c r="F740" s="3">
        <v>16.609134999999998</v>
      </c>
      <c r="G740" s="4">
        <v>2430300</v>
      </c>
      <c r="H740">
        <f t="shared" si="11"/>
        <v>-1.3584325925937115E-2</v>
      </c>
    </row>
    <row r="741" spans="1:8" x14ac:dyDescent="0.3">
      <c r="A741" s="1">
        <v>43076</v>
      </c>
      <c r="B741" s="2">
        <v>18.989999999999998</v>
      </c>
      <c r="C741" s="2">
        <v>19.149999999999999</v>
      </c>
      <c r="D741" s="2">
        <v>18.610001</v>
      </c>
      <c r="E741" s="2">
        <v>18.629999000000002</v>
      </c>
      <c r="F741" s="3">
        <v>16.277125999999999</v>
      </c>
      <c r="G741" s="4">
        <v>3277300</v>
      </c>
      <c r="H741">
        <f t="shared" si="11"/>
        <v>-2.0192025563707465E-2</v>
      </c>
    </row>
    <row r="742" spans="1:8" x14ac:dyDescent="0.3">
      <c r="A742" s="1">
        <v>43077</v>
      </c>
      <c r="B742" s="2">
        <v>18.879999000000002</v>
      </c>
      <c r="C742" s="2">
        <v>19.379999000000002</v>
      </c>
      <c r="D742" s="2">
        <v>18.670000000000002</v>
      </c>
      <c r="E742" s="2">
        <v>19.200001</v>
      </c>
      <c r="F742" s="3">
        <v>16.775138999999999</v>
      </c>
      <c r="G742" s="4">
        <v>3142100</v>
      </c>
      <c r="H742">
        <f t="shared" si="11"/>
        <v>3.0137200180437407E-2</v>
      </c>
    </row>
    <row r="743" spans="1:8" x14ac:dyDescent="0.3">
      <c r="A743" s="1">
        <v>43080</v>
      </c>
      <c r="B743" s="2">
        <v>19.280000999999999</v>
      </c>
      <c r="C743" s="2">
        <v>19.360001</v>
      </c>
      <c r="D743" s="2">
        <v>18.670000000000002</v>
      </c>
      <c r="E743" s="2">
        <v>19.07</v>
      </c>
      <c r="F743" s="3">
        <v>16.661556000000001</v>
      </c>
      <c r="G743" s="4">
        <v>3652500</v>
      </c>
      <c r="H743">
        <f t="shared" si="11"/>
        <v>-6.7939115047400914E-3</v>
      </c>
    </row>
    <row r="744" spans="1:8" x14ac:dyDescent="0.3">
      <c r="A744" s="1">
        <v>43081</v>
      </c>
      <c r="B744" s="2">
        <v>19.149999999999999</v>
      </c>
      <c r="C744" s="2">
        <v>19.299999</v>
      </c>
      <c r="D744" s="2">
        <v>18.959999</v>
      </c>
      <c r="E744" s="2">
        <v>19.110001</v>
      </c>
      <c r="F744" s="3">
        <v>16.696507</v>
      </c>
      <c r="G744" s="4">
        <v>2532900</v>
      </c>
      <c r="H744">
        <f t="shared" si="11"/>
        <v>2.0953909684764674E-3</v>
      </c>
    </row>
    <row r="745" spans="1:8" x14ac:dyDescent="0.3">
      <c r="A745" s="1">
        <v>43082</v>
      </c>
      <c r="B745" s="2">
        <v>19.100000000000001</v>
      </c>
      <c r="C745" s="2">
        <v>19.16</v>
      </c>
      <c r="D745" s="2">
        <v>18.610001</v>
      </c>
      <c r="E745" s="2">
        <v>18.670000000000002</v>
      </c>
      <c r="F745" s="3">
        <v>16.312075</v>
      </c>
      <c r="G745" s="4">
        <v>3086600</v>
      </c>
      <c r="H745">
        <f t="shared" si="11"/>
        <v>-2.3293853027172691E-2</v>
      </c>
    </row>
    <row r="746" spans="1:8" x14ac:dyDescent="0.3">
      <c r="A746" s="1">
        <v>43083</v>
      </c>
      <c r="B746" s="2">
        <v>18.809999000000001</v>
      </c>
      <c r="C746" s="2">
        <v>18.93</v>
      </c>
      <c r="D746" s="2">
        <v>18.34</v>
      </c>
      <c r="E746" s="2">
        <v>18.379999000000002</v>
      </c>
      <c r="F746" s="3">
        <v>16.058699000000001</v>
      </c>
      <c r="G746" s="4">
        <v>2818100</v>
      </c>
      <c r="H746">
        <f t="shared" si="11"/>
        <v>-1.5654895033055838E-2</v>
      </c>
    </row>
    <row r="747" spans="1:8" x14ac:dyDescent="0.3">
      <c r="A747" s="1">
        <v>43084</v>
      </c>
      <c r="B747" s="2">
        <v>18.440000999999999</v>
      </c>
      <c r="C747" s="2">
        <v>18.579999999999998</v>
      </c>
      <c r="D747" s="2">
        <v>18.170000000000002</v>
      </c>
      <c r="E747" s="2">
        <v>18.34</v>
      </c>
      <c r="F747" s="3">
        <v>16.023754</v>
      </c>
      <c r="G747" s="4">
        <v>3875200</v>
      </c>
      <c r="H747">
        <f t="shared" si="11"/>
        <v>-2.1785956922567131E-3</v>
      </c>
    </row>
    <row r="748" spans="1:8" x14ac:dyDescent="0.3">
      <c r="A748" s="1">
        <v>43087</v>
      </c>
      <c r="B748" s="2">
        <v>18.450001</v>
      </c>
      <c r="C748" s="2">
        <v>18.75</v>
      </c>
      <c r="D748" s="2">
        <v>18.399999999999999</v>
      </c>
      <c r="E748" s="2">
        <v>18.66</v>
      </c>
      <c r="F748" s="3">
        <v>16.303336999999999</v>
      </c>
      <c r="G748" s="4">
        <v>3206400</v>
      </c>
      <c r="H748">
        <f t="shared" si="11"/>
        <v>1.7297728590878973E-2</v>
      </c>
    </row>
    <row r="749" spans="1:8" x14ac:dyDescent="0.3">
      <c r="A749" s="1">
        <v>43088</v>
      </c>
      <c r="B749" s="2">
        <v>18.700001</v>
      </c>
      <c r="C749" s="2">
        <v>18.799999</v>
      </c>
      <c r="D749" s="2">
        <v>18.370000999999998</v>
      </c>
      <c r="E749" s="2">
        <v>18.389999</v>
      </c>
      <c r="F749" s="3">
        <v>16.067437999999999</v>
      </c>
      <c r="G749" s="4">
        <v>2253700</v>
      </c>
      <c r="H749">
        <f t="shared" si="11"/>
        <v>-1.4575211180348534E-2</v>
      </c>
    </row>
    <row r="750" spans="1:8" x14ac:dyDescent="0.3">
      <c r="A750" s="1">
        <v>43089</v>
      </c>
      <c r="B750" s="2">
        <v>18.530000999999999</v>
      </c>
      <c r="C750" s="2">
        <v>18.629999000000002</v>
      </c>
      <c r="D750" s="2">
        <v>18.209999</v>
      </c>
      <c r="E750" s="2">
        <v>18.25</v>
      </c>
      <c r="F750" s="3">
        <v>15.945119</v>
      </c>
      <c r="G750" s="4">
        <v>2304500</v>
      </c>
      <c r="H750">
        <f t="shared" si="11"/>
        <v>-7.6419042103486965E-3</v>
      </c>
    </row>
    <row r="751" spans="1:8" x14ac:dyDescent="0.3">
      <c r="A751" s="1">
        <v>43090</v>
      </c>
      <c r="B751" s="2">
        <v>18.290001</v>
      </c>
      <c r="C751" s="2">
        <v>18.469999000000001</v>
      </c>
      <c r="D751" s="2">
        <v>18.010000000000002</v>
      </c>
      <c r="E751" s="2">
        <v>18.450001</v>
      </c>
      <c r="F751" s="3">
        <v>16.119859999999999</v>
      </c>
      <c r="G751" s="4">
        <v>2862100</v>
      </c>
      <c r="H751">
        <f t="shared" si="11"/>
        <v>1.0899344658576324E-2</v>
      </c>
    </row>
    <row r="752" spans="1:8" x14ac:dyDescent="0.3">
      <c r="A752" s="1">
        <v>43091</v>
      </c>
      <c r="B752" s="2">
        <v>18.450001</v>
      </c>
      <c r="C752" s="2">
        <v>18.530000999999999</v>
      </c>
      <c r="D752" s="2">
        <v>18.25</v>
      </c>
      <c r="E752" s="2">
        <v>18.290001</v>
      </c>
      <c r="F752" s="3">
        <v>15.980067999999999</v>
      </c>
      <c r="G752" s="4">
        <v>2085400</v>
      </c>
      <c r="H752">
        <f t="shared" si="11"/>
        <v>-8.7099076096183291E-3</v>
      </c>
    </row>
    <row r="753" spans="1:8" x14ac:dyDescent="0.3">
      <c r="A753" s="1">
        <v>43095</v>
      </c>
      <c r="B753" s="2">
        <v>18.290001</v>
      </c>
      <c r="C753" s="2">
        <v>19.18</v>
      </c>
      <c r="D753" s="2">
        <v>18.27</v>
      </c>
      <c r="E753" s="2">
        <v>18.510000000000002</v>
      </c>
      <c r="F753" s="3">
        <v>16.172284999999999</v>
      </c>
      <c r="G753" s="4">
        <v>3234200</v>
      </c>
      <c r="H753">
        <f t="shared" si="11"/>
        <v>1.195660950794771E-2</v>
      </c>
    </row>
    <row r="754" spans="1:8" x14ac:dyDescent="0.3">
      <c r="A754" s="1">
        <v>43096</v>
      </c>
      <c r="B754" s="2">
        <v>18.510000000000002</v>
      </c>
      <c r="C754" s="2">
        <v>18.57</v>
      </c>
      <c r="D754" s="2">
        <v>18.200001</v>
      </c>
      <c r="E754" s="2">
        <v>18.25</v>
      </c>
      <c r="F754" s="3">
        <v>15.945119</v>
      </c>
      <c r="G754" s="4">
        <v>1837600</v>
      </c>
      <c r="H754">
        <f t="shared" si="11"/>
        <v>-1.4146046556905713E-2</v>
      </c>
    </row>
    <row r="755" spans="1:8" x14ac:dyDescent="0.3">
      <c r="A755" s="1">
        <v>43097</v>
      </c>
      <c r="B755" s="2">
        <v>18.27</v>
      </c>
      <c r="C755" s="2">
        <v>18.280000999999999</v>
      </c>
      <c r="D755" s="2">
        <v>18.02</v>
      </c>
      <c r="E755" s="2">
        <v>18.170000000000002</v>
      </c>
      <c r="F755" s="3">
        <v>15.875223</v>
      </c>
      <c r="G755" s="4">
        <v>1939400</v>
      </c>
      <c r="H755">
        <f t="shared" si="11"/>
        <v>-4.3931976204206529E-3</v>
      </c>
    </row>
    <row r="756" spans="1:8" x14ac:dyDescent="0.3">
      <c r="A756" s="1">
        <v>43098</v>
      </c>
      <c r="B756" s="2">
        <v>18.23</v>
      </c>
      <c r="C756" s="2">
        <v>18.329999999999998</v>
      </c>
      <c r="D756" s="2">
        <v>17.940000999999999</v>
      </c>
      <c r="E756" s="2">
        <v>17.950001</v>
      </c>
      <c r="F756" s="3">
        <v>15.683007999999999</v>
      </c>
      <c r="G756" s="4">
        <v>2063900</v>
      </c>
      <c r="H756">
        <f t="shared" si="11"/>
        <v>-1.2181711763487178E-2</v>
      </c>
    </row>
    <row r="757" spans="1:8" x14ac:dyDescent="0.3">
      <c r="A757" s="1">
        <v>43102</v>
      </c>
      <c r="B757" s="2">
        <v>17.959999</v>
      </c>
      <c r="C757" s="2">
        <v>18.290001</v>
      </c>
      <c r="D757" s="2">
        <v>17.780000999999999</v>
      </c>
      <c r="E757" s="2">
        <v>18.260000000000002</v>
      </c>
      <c r="F757" s="3">
        <v>15.953856</v>
      </c>
      <c r="G757" s="4">
        <v>2832700</v>
      </c>
      <c r="H757">
        <f t="shared" si="11"/>
        <v>1.7122704522229679E-2</v>
      </c>
    </row>
    <row r="758" spans="1:8" x14ac:dyDescent="0.3">
      <c r="A758" s="1">
        <v>43103</v>
      </c>
      <c r="B758" s="2">
        <v>18.290001</v>
      </c>
      <c r="C758" s="2">
        <v>18.370000999999998</v>
      </c>
      <c r="D758" s="2">
        <v>17.920000000000002</v>
      </c>
      <c r="E758" s="2">
        <v>18.200001</v>
      </c>
      <c r="F758" s="3">
        <v>15.901433000000001</v>
      </c>
      <c r="G758" s="4">
        <v>3789200</v>
      </c>
      <c r="H758">
        <f t="shared" si="11"/>
        <v>-3.2912261390194131E-3</v>
      </c>
    </row>
    <row r="759" spans="1:8" x14ac:dyDescent="0.3">
      <c r="A759" s="1">
        <v>43104</v>
      </c>
      <c r="B759" s="2">
        <v>18.200001</v>
      </c>
      <c r="C759" s="2">
        <v>18.379999000000002</v>
      </c>
      <c r="D759" s="2">
        <v>17.959999</v>
      </c>
      <c r="E759" s="2">
        <v>18.32</v>
      </c>
      <c r="F759" s="3">
        <v>16.006278999999999</v>
      </c>
      <c r="G759" s="4">
        <v>2781300</v>
      </c>
      <c r="H759">
        <f t="shared" si="11"/>
        <v>6.5717102181811361E-3</v>
      </c>
    </row>
    <row r="760" spans="1:8" x14ac:dyDescent="0.3">
      <c r="A760" s="1">
        <v>43105</v>
      </c>
      <c r="B760" s="2">
        <v>18.379999000000002</v>
      </c>
      <c r="C760" s="2">
        <v>18.73</v>
      </c>
      <c r="D760" s="2">
        <v>18.219999000000001</v>
      </c>
      <c r="E760" s="2">
        <v>18.68</v>
      </c>
      <c r="F760" s="3">
        <v>16.320812</v>
      </c>
      <c r="G760" s="4">
        <v>3019000</v>
      </c>
      <c r="H760">
        <f t="shared" si="11"/>
        <v>1.9460073554712343E-2</v>
      </c>
    </row>
    <row r="761" spans="1:8" x14ac:dyDescent="0.3">
      <c r="A761" s="1">
        <v>43108</v>
      </c>
      <c r="B761" s="2">
        <v>18.799999</v>
      </c>
      <c r="C761" s="2">
        <v>19.399999999999999</v>
      </c>
      <c r="D761" s="2">
        <v>18.799999</v>
      </c>
      <c r="E761" s="2">
        <v>19.23</v>
      </c>
      <c r="F761" s="3">
        <v>16.801352000000001</v>
      </c>
      <c r="G761" s="4">
        <v>3668400</v>
      </c>
      <c r="H761">
        <f t="shared" si="11"/>
        <v>2.9018126799991908E-2</v>
      </c>
    </row>
    <row r="762" spans="1:8" x14ac:dyDescent="0.3">
      <c r="A762" s="1">
        <v>43109</v>
      </c>
      <c r="B762" s="2">
        <v>19.309999000000001</v>
      </c>
      <c r="C762" s="2">
        <v>19.75</v>
      </c>
      <c r="D762" s="2">
        <v>19.309999000000001</v>
      </c>
      <c r="E762" s="2">
        <v>19.549999</v>
      </c>
      <c r="F762" s="3">
        <v>17.080936000000001</v>
      </c>
      <c r="G762" s="4">
        <v>3662600</v>
      </c>
      <c r="H762">
        <f t="shared" si="11"/>
        <v>1.6503675679789928E-2</v>
      </c>
    </row>
    <row r="763" spans="1:8" x14ac:dyDescent="0.3">
      <c r="A763" s="1">
        <v>43110</v>
      </c>
      <c r="B763" s="2">
        <v>19.389999</v>
      </c>
      <c r="C763" s="2">
        <v>19.920000000000002</v>
      </c>
      <c r="D763" s="2">
        <v>19.329999999999998</v>
      </c>
      <c r="E763" s="2">
        <v>19.68</v>
      </c>
      <c r="F763" s="3">
        <v>17.194519</v>
      </c>
      <c r="G763" s="4">
        <v>4012800</v>
      </c>
      <c r="H763">
        <f t="shared" si="11"/>
        <v>6.6276563436289638E-3</v>
      </c>
    </row>
    <row r="764" spans="1:8" x14ac:dyDescent="0.3">
      <c r="A764" s="1">
        <v>43111</v>
      </c>
      <c r="B764" s="2">
        <v>19.920000000000002</v>
      </c>
      <c r="C764" s="2">
        <v>20.309999000000001</v>
      </c>
      <c r="D764" s="2">
        <v>19.77</v>
      </c>
      <c r="E764" s="2">
        <v>19.959999</v>
      </c>
      <c r="F764" s="3">
        <v>17.439156000000001</v>
      </c>
      <c r="G764" s="4">
        <v>4213100</v>
      </c>
      <c r="H764">
        <f t="shared" si="11"/>
        <v>1.4127329159008941E-2</v>
      </c>
    </row>
    <row r="765" spans="1:8" x14ac:dyDescent="0.3">
      <c r="A765" s="1">
        <v>43112</v>
      </c>
      <c r="B765" s="2">
        <v>18.5</v>
      </c>
      <c r="C765" s="2">
        <v>18.540001</v>
      </c>
      <c r="D765" s="2">
        <v>17.629999000000002</v>
      </c>
      <c r="E765" s="2">
        <v>17.760000000000002</v>
      </c>
      <c r="F765" s="3">
        <v>15.517006</v>
      </c>
      <c r="G765" s="4">
        <v>15445800</v>
      </c>
      <c r="H765">
        <f t="shared" si="11"/>
        <v>-0.11678148321909219</v>
      </c>
    </row>
    <row r="766" spans="1:8" x14ac:dyDescent="0.3">
      <c r="A766" s="1">
        <v>43116</v>
      </c>
      <c r="B766" s="2">
        <v>18</v>
      </c>
      <c r="C766" s="2">
        <v>18.280000999999999</v>
      </c>
      <c r="D766" s="2">
        <v>17.040001</v>
      </c>
      <c r="E766" s="2">
        <v>17.16</v>
      </c>
      <c r="F766" s="3">
        <v>14.99278</v>
      </c>
      <c r="G766" s="4">
        <v>7852500</v>
      </c>
      <c r="H766">
        <f t="shared" si="11"/>
        <v>-3.4367643504207887E-2</v>
      </c>
    </row>
    <row r="767" spans="1:8" x14ac:dyDescent="0.3">
      <c r="A767" s="1">
        <v>43117</v>
      </c>
      <c r="B767" s="2">
        <v>17.239999999999998</v>
      </c>
      <c r="C767" s="2">
        <v>17.709999</v>
      </c>
      <c r="D767" s="2">
        <v>17.170000000000002</v>
      </c>
      <c r="E767" s="2">
        <v>17.5</v>
      </c>
      <c r="F767" s="3">
        <v>15.289840999999999</v>
      </c>
      <c r="G767" s="4">
        <v>4259700</v>
      </c>
      <c r="H767">
        <f t="shared" si="11"/>
        <v>1.9619786869652198E-2</v>
      </c>
    </row>
    <row r="768" spans="1:8" x14ac:dyDescent="0.3">
      <c r="A768" s="1">
        <v>43118</v>
      </c>
      <c r="B768" s="2">
        <v>17.469999000000001</v>
      </c>
      <c r="C768" s="2">
        <v>17.93</v>
      </c>
      <c r="D768" s="2">
        <v>17.209999</v>
      </c>
      <c r="E768" s="2">
        <v>17.860001</v>
      </c>
      <c r="F768" s="3">
        <v>15.604374</v>
      </c>
      <c r="G768" s="4">
        <v>4265700</v>
      </c>
      <c r="H768">
        <f t="shared" si="11"/>
        <v>2.0362750509924567E-2</v>
      </c>
    </row>
    <row r="769" spans="1:8" x14ac:dyDescent="0.3">
      <c r="A769" s="1">
        <v>43119</v>
      </c>
      <c r="B769" s="2">
        <v>17.889999</v>
      </c>
      <c r="C769" s="2">
        <v>18.18</v>
      </c>
      <c r="D769" s="2">
        <v>17.75</v>
      </c>
      <c r="E769" s="2">
        <v>18.129999000000002</v>
      </c>
      <c r="F769" s="3">
        <v>15.840274000000001</v>
      </c>
      <c r="G769" s="4">
        <v>3194000</v>
      </c>
      <c r="H769">
        <f t="shared" si="11"/>
        <v>1.5004338170167369E-2</v>
      </c>
    </row>
    <row r="770" spans="1:8" x14ac:dyDescent="0.3">
      <c r="A770" s="1">
        <v>43122</v>
      </c>
      <c r="B770" s="2">
        <v>18.219999000000001</v>
      </c>
      <c r="C770" s="2">
        <v>18.27</v>
      </c>
      <c r="D770" s="2">
        <v>17.469999000000001</v>
      </c>
      <c r="E770" s="2">
        <v>17.549999</v>
      </c>
      <c r="F770" s="3">
        <v>15.333527</v>
      </c>
      <c r="G770" s="4">
        <v>5234800</v>
      </c>
      <c r="H770">
        <f t="shared" si="11"/>
        <v>-3.251407667774401E-2</v>
      </c>
    </row>
    <row r="771" spans="1:8" x14ac:dyDescent="0.3">
      <c r="A771" s="1">
        <v>43123</v>
      </c>
      <c r="B771" s="2">
        <v>17.52</v>
      </c>
      <c r="C771" s="2">
        <v>17.57</v>
      </c>
      <c r="D771" s="2">
        <v>17.170000000000002</v>
      </c>
      <c r="E771" s="2">
        <v>17.399999999999999</v>
      </c>
      <c r="F771" s="3">
        <v>15.202468</v>
      </c>
      <c r="G771" s="4">
        <v>3628500</v>
      </c>
      <c r="H771">
        <f t="shared" si="11"/>
        <v>-8.5836867113328781E-3</v>
      </c>
    </row>
    <row r="772" spans="1:8" x14ac:dyDescent="0.3">
      <c r="A772" s="1">
        <v>43124</v>
      </c>
      <c r="B772" s="2">
        <v>17.399999999999999</v>
      </c>
      <c r="C772" s="2">
        <v>17.450001</v>
      </c>
      <c r="D772" s="2">
        <v>16.73</v>
      </c>
      <c r="E772" s="2">
        <v>16.98</v>
      </c>
      <c r="F772" s="3">
        <v>14.835512</v>
      </c>
      <c r="G772" s="4">
        <v>4073900</v>
      </c>
      <c r="H772">
        <f t="shared" ref="H772:H835" si="12">LN(E772/E771)</f>
        <v>-2.4434025337282023E-2</v>
      </c>
    </row>
    <row r="773" spans="1:8" x14ac:dyDescent="0.3">
      <c r="A773" s="1">
        <v>43125</v>
      </c>
      <c r="B773" s="2">
        <v>16.98</v>
      </c>
      <c r="C773" s="2">
        <v>17.040001</v>
      </c>
      <c r="D773" s="2">
        <v>16.610001</v>
      </c>
      <c r="E773" s="2">
        <v>16.84</v>
      </c>
      <c r="F773" s="3">
        <v>14.713196</v>
      </c>
      <c r="G773" s="4">
        <v>2701800</v>
      </c>
      <c r="H773">
        <f t="shared" si="12"/>
        <v>-8.2791720690206481E-3</v>
      </c>
    </row>
    <row r="774" spans="1:8" x14ac:dyDescent="0.3">
      <c r="A774" s="1">
        <v>43126</v>
      </c>
      <c r="B774" s="2">
        <v>16.860001</v>
      </c>
      <c r="C774" s="2">
        <v>17.09</v>
      </c>
      <c r="D774" s="2">
        <v>16.610001</v>
      </c>
      <c r="E774" s="2">
        <v>17.059999000000001</v>
      </c>
      <c r="F774" s="3">
        <v>14.905409000000001</v>
      </c>
      <c r="G774" s="4">
        <v>3348800</v>
      </c>
      <c r="H774">
        <f t="shared" si="12"/>
        <v>1.2979474632703525E-2</v>
      </c>
    </row>
    <row r="775" spans="1:8" x14ac:dyDescent="0.3">
      <c r="A775" s="1">
        <v>43129</v>
      </c>
      <c r="B775" s="2">
        <v>17.049999</v>
      </c>
      <c r="C775" s="2">
        <v>17.200001</v>
      </c>
      <c r="D775" s="2">
        <v>16.799999</v>
      </c>
      <c r="E775" s="2">
        <v>17.149999999999999</v>
      </c>
      <c r="F775" s="3">
        <v>14.984043</v>
      </c>
      <c r="G775" s="4">
        <v>3154700</v>
      </c>
      <c r="H775">
        <f t="shared" si="12"/>
        <v>5.2616901650645604E-3</v>
      </c>
    </row>
    <row r="776" spans="1:8" x14ac:dyDescent="0.3">
      <c r="A776" s="1">
        <v>43130</v>
      </c>
      <c r="B776" s="2">
        <v>17.079999999999998</v>
      </c>
      <c r="C776" s="2">
        <v>17.219999000000001</v>
      </c>
      <c r="D776" s="2">
        <v>16.860001</v>
      </c>
      <c r="E776" s="2">
        <v>17.07</v>
      </c>
      <c r="F776" s="3">
        <v>14.914147</v>
      </c>
      <c r="G776" s="4">
        <v>1886000</v>
      </c>
      <c r="H776">
        <f t="shared" si="12"/>
        <v>-4.67563680559959E-3</v>
      </c>
    </row>
    <row r="777" spans="1:8" x14ac:dyDescent="0.3">
      <c r="A777" s="1">
        <v>43131</v>
      </c>
      <c r="B777" s="2">
        <v>17.139999</v>
      </c>
      <c r="C777" s="2">
        <v>17.27</v>
      </c>
      <c r="D777" s="2">
        <v>16.700001</v>
      </c>
      <c r="E777" s="2">
        <v>16.809999000000001</v>
      </c>
      <c r="F777" s="3">
        <v>14.686983</v>
      </c>
      <c r="G777" s="4">
        <v>2749200</v>
      </c>
      <c r="H777">
        <f t="shared" si="12"/>
        <v>-1.534864887422651E-2</v>
      </c>
    </row>
    <row r="778" spans="1:8" x14ac:dyDescent="0.3">
      <c r="A778" s="1">
        <v>43132</v>
      </c>
      <c r="B778" s="2">
        <v>16.700001</v>
      </c>
      <c r="C778" s="2">
        <v>17.010000000000002</v>
      </c>
      <c r="D778" s="2">
        <v>16.57</v>
      </c>
      <c r="E778" s="2">
        <v>16.66</v>
      </c>
      <c r="F778" s="3">
        <v>14.555928</v>
      </c>
      <c r="G778" s="4">
        <v>2937100</v>
      </c>
      <c r="H778">
        <f t="shared" si="12"/>
        <v>-8.9632511934260896E-3</v>
      </c>
    </row>
    <row r="779" spans="1:8" x14ac:dyDescent="0.3">
      <c r="A779" s="1">
        <v>43133</v>
      </c>
      <c r="B779" s="2">
        <v>16.559999000000001</v>
      </c>
      <c r="C779" s="2">
        <v>16.66</v>
      </c>
      <c r="D779" s="2">
        <v>16.219999000000001</v>
      </c>
      <c r="E779" s="2">
        <v>16.23</v>
      </c>
      <c r="F779" s="3">
        <v>14.180235</v>
      </c>
      <c r="G779" s="4">
        <v>3253500</v>
      </c>
      <c r="H779">
        <f t="shared" si="12"/>
        <v>-2.6149255212196822E-2</v>
      </c>
    </row>
    <row r="780" spans="1:8" x14ac:dyDescent="0.3">
      <c r="A780" s="1">
        <v>43136</v>
      </c>
      <c r="B780" s="2">
        <v>16.139999</v>
      </c>
      <c r="C780" s="2">
        <v>16.219999000000001</v>
      </c>
      <c r="D780" s="2">
        <v>15.64</v>
      </c>
      <c r="E780" s="2">
        <v>15.65</v>
      </c>
      <c r="F780" s="3">
        <v>13.673484999999999</v>
      </c>
      <c r="G780" s="4">
        <v>4131100</v>
      </c>
      <c r="H780">
        <f t="shared" si="12"/>
        <v>-3.6390464540337668E-2</v>
      </c>
    </row>
    <row r="781" spans="1:8" x14ac:dyDescent="0.3">
      <c r="A781" s="1">
        <v>43137</v>
      </c>
      <c r="B781" s="2">
        <v>15.36</v>
      </c>
      <c r="C781" s="2">
        <v>16.379999000000002</v>
      </c>
      <c r="D781" s="2">
        <v>15.1</v>
      </c>
      <c r="E781" s="2">
        <v>16.139999</v>
      </c>
      <c r="F781" s="3">
        <v>14.101599999999999</v>
      </c>
      <c r="G781" s="4">
        <v>4962200</v>
      </c>
      <c r="H781">
        <f t="shared" si="12"/>
        <v>3.0829683897769813E-2</v>
      </c>
    </row>
    <row r="782" spans="1:8" x14ac:dyDescent="0.3">
      <c r="A782" s="1">
        <v>43138</v>
      </c>
      <c r="B782" s="2">
        <v>16.16</v>
      </c>
      <c r="C782" s="2">
        <v>16.670000000000002</v>
      </c>
      <c r="D782" s="2">
        <v>16.149999999999999</v>
      </c>
      <c r="E782" s="2">
        <v>16.469999000000001</v>
      </c>
      <c r="F782" s="3">
        <v>14.389923</v>
      </c>
      <c r="G782" s="4">
        <v>4413500</v>
      </c>
      <c r="H782">
        <f t="shared" si="12"/>
        <v>2.0239882589160919E-2</v>
      </c>
    </row>
    <row r="783" spans="1:8" x14ac:dyDescent="0.3">
      <c r="A783" s="1">
        <v>43139</v>
      </c>
      <c r="B783" s="2">
        <v>16.450001</v>
      </c>
      <c r="C783" s="2">
        <v>16.549999</v>
      </c>
      <c r="D783" s="2">
        <v>15.76</v>
      </c>
      <c r="E783" s="2">
        <v>15.83</v>
      </c>
      <c r="F783" s="3">
        <v>13.830752</v>
      </c>
      <c r="G783" s="4">
        <v>4286700</v>
      </c>
      <c r="H783">
        <f t="shared" si="12"/>
        <v>-3.9633609580172292E-2</v>
      </c>
    </row>
    <row r="784" spans="1:8" x14ac:dyDescent="0.3">
      <c r="A784" s="1">
        <v>43140</v>
      </c>
      <c r="B784" s="2">
        <v>15.98</v>
      </c>
      <c r="C784" s="2">
        <v>16.329999999999998</v>
      </c>
      <c r="D784" s="2">
        <v>15.67</v>
      </c>
      <c r="E784" s="2">
        <v>16.170000000000002</v>
      </c>
      <c r="F784" s="3">
        <v>14.127812</v>
      </c>
      <c r="G784" s="4">
        <v>5640900</v>
      </c>
      <c r="H784">
        <f t="shared" si="12"/>
        <v>2.125079969609471E-2</v>
      </c>
    </row>
    <row r="785" spans="1:8" x14ac:dyDescent="0.3">
      <c r="A785" s="1">
        <v>43143</v>
      </c>
      <c r="B785" s="2">
        <v>16.290001</v>
      </c>
      <c r="C785" s="2">
        <v>16.329999999999998</v>
      </c>
      <c r="D785" s="2">
        <v>15.62</v>
      </c>
      <c r="E785" s="2">
        <v>15.8</v>
      </c>
      <c r="F785" s="3">
        <v>13.804542</v>
      </c>
      <c r="G785" s="4">
        <v>2431800</v>
      </c>
      <c r="H785">
        <f t="shared" si="12"/>
        <v>-2.3147733556094424E-2</v>
      </c>
    </row>
    <row r="786" spans="1:8" x14ac:dyDescent="0.3">
      <c r="A786" s="1">
        <v>43144</v>
      </c>
      <c r="B786" s="2">
        <v>15.76</v>
      </c>
      <c r="C786" s="2">
        <v>15.86</v>
      </c>
      <c r="D786" s="2">
        <v>15.49</v>
      </c>
      <c r="E786" s="2">
        <v>15.58</v>
      </c>
      <c r="F786" s="3">
        <v>13.612327000000001</v>
      </c>
      <c r="G786" s="4">
        <v>2463900</v>
      </c>
      <c r="H786">
        <f t="shared" si="12"/>
        <v>-1.4021899590318989E-2</v>
      </c>
    </row>
    <row r="787" spans="1:8" x14ac:dyDescent="0.3">
      <c r="A787" s="1">
        <v>43145</v>
      </c>
      <c r="B787" s="2">
        <v>15.58</v>
      </c>
      <c r="C787" s="2">
        <v>16.399999999999999</v>
      </c>
      <c r="D787" s="2">
        <v>15.53</v>
      </c>
      <c r="E787" s="2">
        <v>16.219999000000001</v>
      </c>
      <c r="F787" s="3">
        <v>14.171497</v>
      </c>
      <c r="G787" s="4">
        <v>3215900</v>
      </c>
      <c r="H787">
        <f t="shared" si="12"/>
        <v>4.0256946592381694E-2</v>
      </c>
    </row>
    <row r="788" spans="1:8" x14ac:dyDescent="0.3">
      <c r="A788" s="1">
        <v>43146</v>
      </c>
      <c r="B788" s="2">
        <v>16.299999</v>
      </c>
      <c r="C788" s="2">
        <v>16.5</v>
      </c>
      <c r="D788" s="2">
        <v>16.239999999999998</v>
      </c>
      <c r="E788" s="2">
        <v>16.41</v>
      </c>
      <c r="F788" s="3">
        <v>14.337502000000001</v>
      </c>
      <c r="G788" s="4">
        <v>2263100</v>
      </c>
      <c r="H788">
        <f t="shared" si="12"/>
        <v>1.1645918067015719E-2</v>
      </c>
    </row>
    <row r="789" spans="1:8" x14ac:dyDescent="0.3">
      <c r="A789" s="1">
        <v>43147</v>
      </c>
      <c r="B789" s="2">
        <v>16.52</v>
      </c>
      <c r="C789" s="2">
        <v>16.969999000000001</v>
      </c>
      <c r="D789" s="2">
        <v>16.25</v>
      </c>
      <c r="E789" s="2">
        <v>16.399999999999999</v>
      </c>
      <c r="F789" s="3">
        <v>14.328765000000001</v>
      </c>
      <c r="G789" s="4">
        <v>2706100</v>
      </c>
      <c r="H789">
        <f t="shared" si="12"/>
        <v>-6.0957027184692261E-4</v>
      </c>
    </row>
    <row r="790" spans="1:8" x14ac:dyDescent="0.3">
      <c r="A790" s="1">
        <v>43151</v>
      </c>
      <c r="B790" s="2">
        <v>16.299999</v>
      </c>
      <c r="C790" s="2">
        <v>16.32</v>
      </c>
      <c r="D790" s="2">
        <v>15.78</v>
      </c>
      <c r="E790" s="2">
        <v>15.86</v>
      </c>
      <c r="F790" s="3">
        <v>13.856963</v>
      </c>
      <c r="G790" s="4">
        <v>2489800</v>
      </c>
      <c r="H790">
        <f t="shared" si="12"/>
        <v>-3.3481118623450726E-2</v>
      </c>
    </row>
    <row r="791" spans="1:8" x14ac:dyDescent="0.3">
      <c r="A791" s="1">
        <v>43152</v>
      </c>
      <c r="B791" s="2">
        <v>15.9</v>
      </c>
      <c r="C791" s="2">
        <v>16.209999</v>
      </c>
      <c r="D791" s="2">
        <v>15.66</v>
      </c>
      <c r="E791" s="2">
        <v>15.69</v>
      </c>
      <c r="F791" s="3">
        <v>13.708432999999999</v>
      </c>
      <c r="G791" s="4">
        <v>3031200</v>
      </c>
      <c r="H791">
        <f t="shared" si="12"/>
        <v>-1.0776649461760671E-2</v>
      </c>
    </row>
    <row r="792" spans="1:8" x14ac:dyDescent="0.3">
      <c r="A792" s="1">
        <v>43153</v>
      </c>
      <c r="B792" s="2">
        <v>15.81</v>
      </c>
      <c r="C792" s="2">
        <v>15.93</v>
      </c>
      <c r="D792" s="2">
        <v>15.57</v>
      </c>
      <c r="E792" s="2">
        <v>15.62</v>
      </c>
      <c r="F792" s="3">
        <v>13.647275</v>
      </c>
      <c r="G792" s="4">
        <v>2452200</v>
      </c>
      <c r="H792">
        <f t="shared" si="12"/>
        <v>-4.471422333401389E-3</v>
      </c>
    </row>
    <row r="793" spans="1:8" x14ac:dyDescent="0.3">
      <c r="A793" s="1">
        <v>43154</v>
      </c>
      <c r="B793" s="2">
        <v>15.79</v>
      </c>
      <c r="C793" s="2">
        <v>15.99</v>
      </c>
      <c r="D793" s="2">
        <v>15.67</v>
      </c>
      <c r="E793" s="2">
        <v>15.97</v>
      </c>
      <c r="F793" s="3">
        <v>13.953072000000001</v>
      </c>
      <c r="G793" s="4">
        <v>2580300</v>
      </c>
      <c r="H793">
        <f t="shared" si="12"/>
        <v>2.2159817815381268E-2</v>
      </c>
    </row>
    <row r="794" spans="1:8" x14ac:dyDescent="0.3">
      <c r="A794" s="1">
        <v>43157</v>
      </c>
      <c r="B794" s="2">
        <v>16</v>
      </c>
      <c r="C794" s="2">
        <v>16.100000000000001</v>
      </c>
      <c r="D794" s="2">
        <v>15.84</v>
      </c>
      <c r="E794" s="2">
        <v>16.079999999999998</v>
      </c>
      <c r="F794" s="3">
        <v>14.049179000000001</v>
      </c>
      <c r="G794" s="4">
        <v>2771200</v>
      </c>
      <c r="H794">
        <f t="shared" si="12"/>
        <v>6.8643015238989968E-3</v>
      </c>
    </row>
    <row r="795" spans="1:8" x14ac:dyDescent="0.3">
      <c r="A795" s="1">
        <v>43158</v>
      </c>
      <c r="B795" s="2">
        <v>16.100000000000001</v>
      </c>
      <c r="C795" s="2">
        <v>16.59</v>
      </c>
      <c r="D795" s="2">
        <v>15.57</v>
      </c>
      <c r="E795" s="2">
        <v>15.57</v>
      </c>
      <c r="F795" s="3">
        <v>13.603588999999999</v>
      </c>
      <c r="G795" s="4">
        <v>4474000</v>
      </c>
      <c r="H795">
        <f t="shared" si="12"/>
        <v>-3.2230277904913243E-2</v>
      </c>
    </row>
    <row r="796" spans="1:8" x14ac:dyDescent="0.3">
      <c r="A796" s="1">
        <v>43159</v>
      </c>
      <c r="B796" s="2">
        <v>15.65</v>
      </c>
      <c r="C796" s="2">
        <v>15.95</v>
      </c>
      <c r="D796" s="2">
        <v>15.58</v>
      </c>
      <c r="E796" s="2">
        <v>15.69</v>
      </c>
      <c r="F796" s="3">
        <v>13.708432999999999</v>
      </c>
      <c r="G796" s="4">
        <v>4737000</v>
      </c>
      <c r="H796">
        <f t="shared" si="12"/>
        <v>7.6775808990341117E-3</v>
      </c>
    </row>
    <row r="797" spans="1:8" x14ac:dyDescent="0.3">
      <c r="A797" s="1">
        <v>43160</v>
      </c>
      <c r="B797" s="2">
        <v>15.79</v>
      </c>
      <c r="C797" s="2">
        <v>16.23</v>
      </c>
      <c r="D797" s="2">
        <v>15.76</v>
      </c>
      <c r="E797" s="2">
        <v>15.97</v>
      </c>
      <c r="F797" s="3">
        <v>13.953072000000001</v>
      </c>
      <c r="G797" s="4">
        <v>3132500</v>
      </c>
      <c r="H797">
        <f t="shared" si="12"/>
        <v>1.7688395481979903E-2</v>
      </c>
    </row>
    <row r="798" spans="1:8" x14ac:dyDescent="0.3">
      <c r="A798" s="1">
        <v>43161</v>
      </c>
      <c r="B798" s="2">
        <v>15.56</v>
      </c>
      <c r="C798" s="2">
        <v>15.99</v>
      </c>
      <c r="D798" s="2">
        <v>15.38</v>
      </c>
      <c r="E798" s="2">
        <v>15.93</v>
      </c>
      <c r="F798" s="3">
        <v>14.257372999999999</v>
      </c>
      <c r="G798" s="4">
        <v>3553900</v>
      </c>
      <c r="H798">
        <f t="shared" si="12"/>
        <v>-2.5078383049639999E-3</v>
      </c>
    </row>
    <row r="799" spans="1:8" x14ac:dyDescent="0.3">
      <c r="A799" s="1">
        <v>43164</v>
      </c>
      <c r="B799" s="2">
        <v>15.87</v>
      </c>
      <c r="C799" s="2">
        <v>16.110001</v>
      </c>
      <c r="D799" s="2">
        <v>15.68</v>
      </c>
      <c r="E799" s="2">
        <v>16.049999</v>
      </c>
      <c r="F799" s="3">
        <v>14.364772</v>
      </c>
      <c r="G799" s="4">
        <v>4236100</v>
      </c>
      <c r="H799">
        <f t="shared" si="12"/>
        <v>7.5046633487699044E-3</v>
      </c>
    </row>
    <row r="800" spans="1:8" x14ac:dyDescent="0.3">
      <c r="A800" s="1">
        <v>43165</v>
      </c>
      <c r="B800" s="2">
        <v>16.049999</v>
      </c>
      <c r="C800" s="2">
        <v>16.170000000000002</v>
      </c>
      <c r="D800" s="2">
        <v>15.8</v>
      </c>
      <c r="E800" s="2">
        <v>16.059999000000001</v>
      </c>
      <c r="F800" s="3">
        <v>14.373721</v>
      </c>
      <c r="G800" s="4">
        <v>2667600</v>
      </c>
      <c r="H800">
        <f t="shared" si="12"/>
        <v>6.2285898138611929E-4</v>
      </c>
    </row>
    <row r="801" spans="1:8" x14ac:dyDescent="0.3">
      <c r="A801" s="1">
        <v>43166</v>
      </c>
      <c r="B801" s="2">
        <v>15.85</v>
      </c>
      <c r="C801" s="2">
        <v>16.170000000000002</v>
      </c>
      <c r="D801" s="2">
        <v>15.84</v>
      </c>
      <c r="E801" s="2">
        <v>15.94</v>
      </c>
      <c r="F801" s="3">
        <v>14.26632</v>
      </c>
      <c r="G801" s="4">
        <v>2989400</v>
      </c>
      <c r="H801">
        <f t="shared" si="12"/>
        <v>-7.499972890044183E-3</v>
      </c>
    </row>
    <row r="802" spans="1:8" x14ac:dyDescent="0.3">
      <c r="A802" s="1">
        <v>43167</v>
      </c>
      <c r="B802" s="2">
        <v>15.95</v>
      </c>
      <c r="C802" s="2">
        <v>16.049999</v>
      </c>
      <c r="D802" s="2">
        <v>15.48</v>
      </c>
      <c r="E802" s="2">
        <v>15.64</v>
      </c>
      <c r="F802" s="3">
        <v>13.997821999999999</v>
      </c>
      <c r="G802" s="4">
        <v>2974400</v>
      </c>
      <c r="H802">
        <f t="shared" si="12"/>
        <v>-1.8999938244903942E-2</v>
      </c>
    </row>
    <row r="803" spans="1:8" x14ac:dyDescent="0.3">
      <c r="A803" s="1">
        <v>43168</v>
      </c>
      <c r="B803" s="2">
        <v>15.69</v>
      </c>
      <c r="C803" s="2">
        <v>15.89</v>
      </c>
      <c r="D803" s="2">
        <v>15.51</v>
      </c>
      <c r="E803" s="2">
        <v>15.85</v>
      </c>
      <c r="F803" s="3">
        <v>14.185772</v>
      </c>
      <c r="G803" s="4">
        <v>3969900</v>
      </c>
      <c r="H803">
        <f t="shared" si="12"/>
        <v>1.3337765206124581E-2</v>
      </c>
    </row>
    <row r="804" spans="1:8" x14ac:dyDescent="0.3">
      <c r="A804" s="1">
        <v>43171</v>
      </c>
      <c r="B804" s="2">
        <v>15.85</v>
      </c>
      <c r="C804" s="2">
        <v>16.010000000000002</v>
      </c>
      <c r="D804" s="2">
        <v>15.5</v>
      </c>
      <c r="E804" s="2">
        <v>15.55</v>
      </c>
      <c r="F804" s="3">
        <v>13.917271</v>
      </c>
      <c r="G804" s="4">
        <v>3878600</v>
      </c>
      <c r="H804">
        <f t="shared" si="12"/>
        <v>-1.9108861698046362E-2</v>
      </c>
    </row>
    <row r="805" spans="1:8" x14ac:dyDescent="0.3">
      <c r="A805" s="1">
        <v>43172</v>
      </c>
      <c r="B805" s="2">
        <v>15.63</v>
      </c>
      <c r="C805" s="2">
        <v>16.010000000000002</v>
      </c>
      <c r="D805" s="2">
        <v>15.58</v>
      </c>
      <c r="E805" s="2">
        <v>15.61</v>
      </c>
      <c r="F805" s="3">
        <v>13.970971</v>
      </c>
      <c r="G805" s="4">
        <v>2891500</v>
      </c>
      <c r="H805">
        <f t="shared" si="12"/>
        <v>3.8510959020974724E-3</v>
      </c>
    </row>
    <row r="806" spans="1:8" x14ac:dyDescent="0.3">
      <c r="A806" s="1">
        <v>43173</v>
      </c>
      <c r="B806" s="2">
        <v>15.72</v>
      </c>
      <c r="C806" s="2">
        <v>15.82</v>
      </c>
      <c r="D806" s="2">
        <v>15.43</v>
      </c>
      <c r="E806" s="2">
        <v>15.46</v>
      </c>
      <c r="F806" s="3">
        <v>13.836721000000001</v>
      </c>
      <c r="G806" s="4">
        <v>2518100</v>
      </c>
      <c r="H806">
        <f t="shared" si="12"/>
        <v>-9.6556913680647411E-3</v>
      </c>
    </row>
    <row r="807" spans="1:8" x14ac:dyDescent="0.3">
      <c r="A807" s="1">
        <v>43174</v>
      </c>
      <c r="B807" s="2">
        <v>15.5</v>
      </c>
      <c r="C807" s="2">
        <v>15.62</v>
      </c>
      <c r="D807" s="2">
        <v>15.26</v>
      </c>
      <c r="E807" s="2">
        <v>15.31</v>
      </c>
      <c r="F807" s="3">
        <v>13.702470999999999</v>
      </c>
      <c r="G807" s="4">
        <v>1867000</v>
      </c>
      <c r="H807">
        <f t="shared" si="12"/>
        <v>-9.7498334896835345E-3</v>
      </c>
    </row>
    <row r="808" spans="1:8" x14ac:dyDescent="0.3">
      <c r="A808" s="1">
        <v>43175</v>
      </c>
      <c r="B808" s="2">
        <v>15.34</v>
      </c>
      <c r="C808" s="2">
        <v>15.66</v>
      </c>
      <c r="D808" s="2">
        <v>15.32</v>
      </c>
      <c r="E808" s="2">
        <v>15.42</v>
      </c>
      <c r="F808" s="3">
        <v>13.80092</v>
      </c>
      <c r="G808" s="4">
        <v>5084000</v>
      </c>
      <c r="H808">
        <f t="shared" si="12"/>
        <v>7.159158465591074E-3</v>
      </c>
    </row>
    <row r="809" spans="1:8" x14ac:dyDescent="0.3">
      <c r="A809" s="1">
        <v>43178</v>
      </c>
      <c r="B809" s="2">
        <v>15.24</v>
      </c>
      <c r="C809" s="2">
        <v>15.41</v>
      </c>
      <c r="D809" s="2">
        <v>14.76</v>
      </c>
      <c r="E809" s="2">
        <v>14.81</v>
      </c>
      <c r="F809" s="3">
        <v>13.254972</v>
      </c>
      <c r="G809" s="4">
        <v>3976100</v>
      </c>
      <c r="H809">
        <f t="shared" si="12"/>
        <v>-4.0362739855475983E-2</v>
      </c>
    </row>
    <row r="810" spans="1:8" x14ac:dyDescent="0.3">
      <c r="A810" s="1">
        <v>43179</v>
      </c>
      <c r="B810" s="2">
        <v>14.82</v>
      </c>
      <c r="C810" s="2">
        <v>14.95</v>
      </c>
      <c r="D810" s="2">
        <v>14.35</v>
      </c>
      <c r="E810" s="2">
        <v>14.47</v>
      </c>
      <c r="F810" s="3">
        <v>12.950669</v>
      </c>
      <c r="G810" s="4">
        <v>4284000</v>
      </c>
      <c r="H810">
        <f t="shared" si="12"/>
        <v>-2.322508763631493E-2</v>
      </c>
    </row>
    <row r="811" spans="1:8" x14ac:dyDescent="0.3">
      <c r="A811" s="1">
        <v>43180</v>
      </c>
      <c r="B811" s="2">
        <v>14.31</v>
      </c>
      <c r="C811" s="2">
        <v>14.45</v>
      </c>
      <c r="D811" s="2">
        <v>14.01</v>
      </c>
      <c r="E811" s="2">
        <v>14.02</v>
      </c>
      <c r="F811" s="3">
        <v>12.547919</v>
      </c>
      <c r="G811" s="4">
        <v>4411200</v>
      </c>
      <c r="H811">
        <f t="shared" si="12"/>
        <v>-3.1592659036948564E-2</v>
      </c>
    </row>
    <row r="812" spans="1:8" x14ac:dyDescent="0.3">
      <c r="A812" s="1">
        <v>43181</v>
      </c>
      <c r="B812" s="2">
        <v>13.94</v>
      </c>
      <c r="C812" s="2">
        <v>14.09</v>
      </c>
      <c r="D812" s="2">
        <v>13.59</v>
      </c>
      <c r="E812" s="2">
        <v>13.83</v>
      </c>
      <c r="F812" s="3">
        <v>12.377869</v>
      </c>
      <c r="G812" s="4">
        <v>4442300</v>
      </c>
      <c r="H812">
        <f t="shared" si="12"/>
        <v>-1.3644735929777186E-2</v>
      </c>
    </row>
    <row r="813" spans="1:8" x14ac:dyDescent="0.3">
      <c r="A813" s="1">
        <v>43182</v>
      </c>
      <c r="B813" s="2">
        <v>13.92</v>
      </c>
      <c r="C813" s="2">
        <v>13.94</v>
      </c>
      <c r="D813" s="2">
        <v>13.49</v>
      </c>
      <c r="E813" s="2">
        <v>13.5</v>
      </c>
      <c r="F813" s="3">
        <v>12.082519</v>
      </c>
      <c r="G813" s="4">
        <v>3811400</v>
      </c>
      <c r="H813">
        <f t="shared" si="12"/>
        <v>-2.4150460232283098E-2</v>
      </c>
    </row>
    <row r="814" spans="1:8" x14ac:dyDescent="0.3">
      <c r="A814" s="1">
        <v>43185</v>
      </c>
      <c r="B814" s="2">
        <v>13.7</v>
      </c>
      <c r="C814" s="2">
        <v>14.09</v>
      </c>
      <c r="D814" s="2">
        <v>13.59</v>
      </c>
      <c r="E814" s="2">
        <v>14.04</v>
      </c>
      <c r="F814" s="3">
        <v>12.565818999999999</v>
      </c>
      <c r="G814" s="4">
        <v>5015700</v>
      </c>
      <c r="H814">
        <f t="shared" si="12"/>
        <v>3.9220713153281329E-2</v>
      </c>
    </row>
    <row r="815" spans="1:8" x14ac:dyDescent="0.3">
      <c r="A815" s="1">
        <v>43186</v>
      </c>
      <c r="B815" s="2">
        <v>14.07</v>
      </c>
      <c r="C815" s="2">
        <v>14.21</v>
      </c>
      <c r="D815" s="2">
        <v>13.77</v>
      </c>
      <c r="E815" s="2">
        <v>13.88</v>
      </c>
      <c r="F815" s="3">
        <v>12.422618999999999</v>
      </c>
      <c r="G815" s="4">
        <v>4480900</v>
      </c>
      <c r="H815">
        <f t="shared" si="12"/>
        <v>-1.1461443519006539E-2</v>
      </c>
    </row>
    <row r="816" spans="1:8" x14ac:dyDescent="0.3">
      <c r="A816" s="1">
        <v>43187</v>
      </c>
      <c r="B816" s="2">
        <v>14</v>
      </c>
      <c r="C816" s="2">
        <v>14.31</v>
      </c>
      <c r="D816" s="2">
        <v>13.81</v>
      </c>
      <c r="E816" s="2">
        <v>14.15</v>
      </c>
      <c r="F816" s="3">
        <v>12.664268</v>
      </c>
      <c r="G816" s="4">
        <v>7634000</v>
      </c>
      <c r="H816">
        <f t="shared" si="12"/>
        <v>1.9265669010588141E-2</v>
      </c>
    </row>
    <row r="817" spans="1:8" x14ac:dyDescent="0.3">
      <c r="A817" s="1">
        <v>43188</v>
      </c>
      <c r="B817" s="2">
        <v>12.65</v>
      </c>
      <c r="C817" s="2">
        <v>13</v>
      </c>
      <c r="D817" s="2">
        <v>12.2</v>
      </c>
      <c r="E817" s="2">
        <v>12.62</v>
      </c>
      <c r="F817" s="3">
        <v>11.294916000000001</v>
      </c>
      <c r="G817" s="4">
        <v>25461800</v>
      </c>
      <c r="H817">
        <f t="shared" si="12"/>
        <v>-0.11443176697617963</v>
      </c>
    </row>
    <row r="818" spans="1:8" x14ac:dyDescent="0.3">
      <c r="A818" s="1">
        <v>43192</v>
      </c>
      <c r="B818" s="2">
        <v>12.51</v>
      </c>
      <c r="C818" s="2">
        <v>13.28</v>
      </c>
      <c r="D818" s="2">
        <v>12.5</v>
      </c>
      <c r="E818" s="2">
        <v>12.82</v>
      </c>
      <c r="F818" s="3">
        <v>11.473917999999999</v>
      </c>
      <c r="G818" s="4">
        <v>11130000</v>
      </c>
      <c r="H818">
        <f t="shared" si="12"/>
        <v>1.5723594379456876E-2</v>
      </c>
    </row>
    <row r="819" spans="1:8" x14ac:dyDescent="0.3">
      <c r="A819" s="1">
        <v>43193</v>
      </c>
      <c r="B819" s="2">
        <v>12.64</v>
      </c>
      <c r="C819" s="2">
        <v>13.13</v>
      </c>
      <c r="D819" s="2">
        <v>12.6</v>
      </c>
      <c r="E819" s="2">
        <v>13.01</v>
      </c>
      <c r="F819" s="3">
        <v>11.643967999999999</v>
      </c>
      <c r="G819" s="4">
        <v>5747200</v>
      </c>
      <c r="H819">
        <f t="shared" si="12"/>
        <v>1.471184103188982E-2</v>
      </c>
    </row>
    <row r="820" spans="1:8" x14ac:dyDescent="0.3">
      <c r="A820" s="1">
        <v>43194</v>
      </c>
      <c r="B820" s="2">
        <v>12.82</v>
      </c>
      <c r="C820" s="2">
        <v>13.48</v>
      </c>
      <c r="D820" s="2">
        <v>12.71</v>
      </c>
      <c r="E820" s="2">
        <v>13.34</v>
      </c>
      <c r="F820" s="3">
        <v>11.939318999999999</v>
      </c>
      <c r="G820" s="4">
        <v>6383800</v>
      </c>
      <c r="H820">
        <f t="shared" si="12"/>
        <v>2.5048747963063771E-2</v>
      </c>
    </row>
    <row r="821" spans="1:8" x14ac:dyDescent="0.3">
      <c r="A821" s="1">
        <v>43195</v>
      </c>
      <c r="B821" s="2">
        <v>13.35</v>
      </c>
      <c r="C821" s="2">
        <v>13.63</v>
      </c>
      <c r="D821" s="2">
        <v>13.27</v>
      </c>
      <c r="E821" s="2">
        <v>13.56</v>
      </c>
      <c r="F821" s="3">
        <v>12.136219000000001</v>
      </c>
      <c r="G821" s="4">
        <v>5140600</v>
      </c>
      <c r="H821">
        <f t="shared" si="12"/>
        <v>1.6357242024771894E-2</v>
      </c>
    </row>
    <row r="822" spans="1:8" x14ac:dyDescent="0.3">
      <c r="A822" s="1">
        <v>43196</v>
      </c>
      <c r="B822" s="2">
        <v>13.42</v>
      </c>
      <c r="C822" s="2">
        <v>13.66</v>
      </c>
      <c r="D822" s="2">
        <v>13.24</v>
      </c>
      <c r="E822" s="2">
        <v>13.43</v>
      </c>
      <c r="F822" s="3">
        <v>12.019869</v>
      </c>
      <c r="G822" s="4">
        <v>4238300</v>
      </c>
      <c r="H822">
        <f t="shared" si="12"/>
        <v>-9.6332719771034126E-3</v>
      </c>
    </row>
    <row r="823" spans="1:8" x14ac:dyDescent="0.3">
      <c r="A823" s="1">
        <v>43199</v>
      </c>
      <c r="B823" s="2">
        <v>13.51</v>
      </c>
      <c r="C823" s="2">
        <v>13.76</v>
      </c>
      <c r="D823" s="2">
        <v>13.43</v>
      </c>
      <c r="E823" s="2">
        <v>13.48</v>
      </c>
      <c r="F823" s="3">
        <v>12.064617999999999</v>
      </c>
      <c r="G823" s="4">
        <v>5703600</v>
      </c>
      <c r="H823">
        <f t="shared" si="12"/>
        <v>3.7160949490148538E-3</v>
      </c>
    </row>
    <row r="824" spans="1:8" x14ac:dyDescent="0.3">
      <c r="A824" s="1">
        <v>43200</v>
      </c>
      <c r="B824" s="2">
        <v>13.68</v>
      </c>
      <c r="C824" s="2">
        <v>13.86</v>
      </c>
      <c r="D824" s="2">
        <v>13.51</v>
      </c>
      <c r="E824" s="2">
        <v>13.68</v>
      </c>
      <c r="F824" s="3">
        <v>12.243619000000001</v>
      </c>
      <c r="G824" s="4">
        <v>5788600</v>
      </c>
      <c r="H824">
        <f t="shared" si="12"/>
        <v>1.4727806710243386E-2</v>
      </c>
    </row>
    <row r="825" spans="1:8" x14ac:dyDescent="0.3">
      <c r="A825" s="1">
        <v>43201</v>
      </c>
      <c r="B825" s="2">
        <v>13.62</v>
      </c>
      <c r="C825" s="2">
        <v>13.98</v>
      </c>
      <c r="D825" s="2">
        <v>13.6</v>
      </c>
      <c r="E825" s="2">
        <v>13.84</v>
      </c>
      <c r="F825" s="3">
        <v>12.386818999999999</v>
      </c>
      <c r="G825" s="4">
        <v>4284000</v>
      </c>
      <c r="H825">
        <f t="shared" si="12"/>
        <v>1.1628037995119214E-2</v>
      </c>
    </row>
    <row r="826" spans="1:8" x14ac:dyDescent="0.3">
      <c r="A826" s="1">
        <v>43202</v>
      </c>
      <c r="B826" s="2">
        <v>13.86</v>
      </c>
      <c r="C826" s="2">
        <v>13.87</v>
      </c>
      <c r="D826" s="2">
        <v>13.47</v>
      </c>
      <c r="E826" s="2">
        <v>13.63</v>
      </c>
      <c r="F826" s="3">
        <v>12.198867999999999</v>
      </c>
      <c r="G826" s="4">
        <v>3114400</v>
      </c>
      <c r="H826">
        <f t="shared" si="12"/>
        <v>-1.5289704481082148E-2</v>
      </c>
    </row>
    <row r="827" spans="1:8" x14ac:dyDescent="0.3">
      <c r="A827" s="1">
        <v>43203</v>
      </c>
      <c r="B827" s="2">
        <v>13.73</v>
      </c>
      <c r="C827" s="2">
        <v>13.94</v>
      </c>
      <c r="D827" s="2">
        <v>13.55</v>
      </c>
      <c r="E827" s="2">
        <v>13.61</v>
      </c>
      <c r="F827" s="3">
        <v>12.180967000000001</v>
      </c>
      <c r="G827" s="4">
        <v>3188700</v>
      </c>
      <c r="H827">
        <f t="shared" si="12"/>
        <v>-1.4684290450666824E-3</v>
      </c>
    </row>
    <row r="828" spans="1:8" x14ac:dyDescent="0.3">
      <c r="A828" s="1">
        <v>43206</v>
      </c>
      <c r="B828" s="2">
        <v>13.73</v>
      </c>
      <c r="C828" s="2">
        <v>13.9</v>
      </c>
      <c r="D828" s="2">
        <v>13.6</v>
      </c>
      <c r="E828" s="2">
        <v>13.81</v>
      </c>
      <c r="F828" s="3">
        <v>12.359969</v>
      </c>
      <c r="G828" s="4">
        <v>3227700</v>
      </c>
      <c r="H828">
        <f t="shared" si="12"/>
        <v>1.45881507578262E-2</v>
      </c>
    </row>
    <row r="829" spans="1:8" x14ac:dyDescent="0.3">
      <c r="A829" s="1">
        <v>43207</v>
      </c>
      <c r="B829" s="2">
        <v>13.89</v>
      </c>
      <c r="C829" s="2">
        <v>14.18</v>
      </c>
      <c r="D829" s="2">
        <v>13.84</v>
      </c>
      <c r="E829" s="2">
        <v>13.94</v>
      </c>
      <c r="F829" s="3">
        <v>12.476319</v>
      </c>
      <c r="G829" s="4">
        <v>4288900</v>
      </c>
      <c r="H829">
        <f t="shared" si="12"/>
        <v>9.3694379111769494E-3</v>
      </c>
    </row>
    <row r="830" spans="1:8" x14ac:dyDescent="0.3">
      <c r="A830" s="1">
        <v>43208</v>
      </c>
      <c r="B830" s="2">
        <v>13.99</v>
      </c>
      <c r="C830" s="2">
        <v>14.03</v>
      </c>
      <c r="D830" s="2">
        <v>13.6</v>
      </c>
      <c r="E830" s="2">
        <v>13.66</v>
      </c>
      <c r="F830" s="3">
        <v>12.225718000000001</v>
      </c>
      <c r="G830" s="4">
        <v>3573300</v>
      </c>
      <c r="H830">
        <f t="shared" si="12"/>
        <v>-2.029055118973376E-2</v>
      </c>
    </row>
    <row r="831" spans="1:8" x14ac:dyDescent="0.3">
      <c r="A831" s="1">
        <v>43209</v>
      </c>
      <c r="B831" s="2">
        <v>13.66</v>
      </c>
      <c r="C831" s="2">
        <v>13.78</v>
      </c>
      <c r="D831" s="2">
        <v>13.45</v>
      </c>
      <c r="E831" s="2">
        <v>13.52</v>
      </c>
      <c r="F831" s="3">
        <v>12.100417999999999</v>
      </c>
      <c r="G831" s="4">
        <v>2507400</v>
      </c>
      <c r="H831">
        <f t="shared" si="12"/>
        <v>-1.0301783527826057E-2</v>
      </c>
    </row>
    <row r="832" spans="1:8" x14ac:dyDescent="0.3">
      <c r="A832" s="1">
        <v>43210</v>
      </c>
      <c r="B832" s="2">
        <v>13.47</v>
      </c>
      <c r="C832" s="2">
        <v>13.54</v>
      </c>
      <c r="D832" s="2">
        <v>12.81</v>
      </c>
      <c r="E832" s="2">
        <v>12.88</v>
      </c>
      <c r="F832" s="3">
        <v>11.527616999999999</v>
      </c>
      <c r="G832" s="4">
        <v>6200800</v>
      </c>
      <c r="H832">
        <f t="shared" si="12"/>
        <v>-4.8494349938610383E-2</v>
      </c>
    </row>
    <row r="833" spans="1:8" x14ac:dyDescent="0.3">
      <c r="A833" s="1">
        <v>43213</v>
      </c>
      <c r="B833" s="2">
        <v>12.9</v>
      </c>
      <c r="C833" s="2">
        <v>13.35</v>
      </c>
      <c r="D833" s="2">
        <v>12.9</v>
      </c>
      <c r="E833" s="2">
        <v>13.2</v>
      </c>
      <c r="F833" s="3">
        <v>11.814017</v>
      </c>
      <c r="G833" s="4">
        <v>3692900</v>
      </c>
      <c r="H833">
        <f t="shared" si="12"/>
        <v>2.4541108916117445E-2</v>
      </c>
    </row>
    <row r="834" spans="1:8" x14ac:dyDescent="0.3">
      <c r="A834" s="1">
        <v>43214</v>
      </c>
      <c r="B834" s="2">
        <v>13.29</v>
      </c>
      <c r="C834" s="2">
        <v>13.64</v>
      </c>
      <c r="D834" s="2">
        <v>13.12</v>
      </c>
      <c r="E834" s="2">
        <v>13.41</v>
      </c>
      <c r="F834" s="3">
        <v>12.001967</v>
      </c>
      <c r="G834" s="4">
        <v>3613600</v>
      </c>
      <c r="H834">
        <f t="shared" si="12"/>
        <v>1.5783867701261951E-2</v>
      </c>
    </row>
    <row r="835" spans="1:8" x14ac:dyDescent="0.3">
      <c r="A835" s="1">
        <v>43215</v>
      </c>
      <c r="B835" s="2">
        <v>13.35</v>
      </c>
      <c r="C835" s="2">
        <v>13.63</v>
      </c>
      <c r="D835" s="2">
        <v>13.29</v>
      </c>
      <c r="E835" s="2">
        <v>13.46</v>
      </c>
      <c r="F835" s="3">
        <v>12.046718</v>
      </c>
      <c r="G835" s="4">
        <v>3647100</v>
      </c>
      <c r="H835">
        <f t="shared" si="12"/>
        <v>3.7216269229945727E-3</v>
      </c>
    </row>
    <row r="836" spans="1:8" x14ac:dyDescent="0.3">
      <c r="A836" s="1">
        <v>43216</v>
      </c>
      <c r="B836" s="2">
        <v>13.6</v>
      </c>
      <c r="C836" s="2">
        <v>13.88</v>
      </c>
      <c r="D836" s="2">
        <v>13.45</v>
      </c>
      <c r="E836" s="2">
        <v>13.67</v>
      </c>
      <c r="F836" s="3">
        <v>12.234669</v>
      </c>
      <c r="G836" s="4">
        <v>3212000</v>
      </c>
      <c r="H836">
        <f t="shared" ref="H836:H899" si="13">LN(E836/E835)</f>
        <v>1.5481326519276391E-2</v>
      </c>
    </row>
    <row r="837" spans="1:8" x14ac:dyDescent="0.3">
      <c r="A837" s="1">
        <v>43217</v>
      </c>
      <c r="B837" s="2">
        <v>13.68</v>
      </c>
      <c r="C837" s="2">
        <v>13.91</v>
      </c>
      <c r="D837" s="2">
        <v>13.6</v>
      </c>
      <c r="E837" s="2">
        <v>13.86</v>
      </c>
      <c r="F837" s="3">
        <v>12.404718000000001</v>
      </c>
      <c r="G837" s="4">
        <v>2500600</v>
      </c>
      <c r="H837">
        <f t="shared" si="13"/>
        <v>1.3803343025898984E-2</v>
      </c>
    </row>
    <row r="838" spans="1:8" x14ac:dyDescent="0.3">
      <c r="A838" s="1">
        <v>43220</v>
      </c>
      <c r="B838" s="2">
        <v>13.97</v>
      </c>
      <c r="C838" s="2">
        <v>14</v>
      </c>
      <c r="D838" s="2">
        <v>13.56</v>
      </c>
      <c r="E838" s="2">
        <v>13.65</v>
      </c>
      <c r="F838" s="3">
        <v>12.216768999999999</v>
      </c>
      <c r="G838" s="4">
        <v>3151900</v>
      </c>
      <c r="H838">
        <f t="shared" si="13"/>
        <v>-1.5267472130788421E-2</v>
      </c>
    </row>
    <row r="839" spans="1:8" x14ac:dyDescent="0.3">
      <c r="A839" s="1">
        <v>43221</v>
      </c>
      <c r="B839" s="2">
        <v>13.58</v>
      </c>
      <c r="C839" s="2">
        <v>13.89</v>
      </c>
      <c r="D839" s="2">
        <v>13.47</v>
      </c>
      <c r="E839" s="2">
        <v>13.85</v>
      </c>
      <c r="F839" s="3">
        <v>12.395769</v>
      </c>
      <c r="G839" s="4">
        <v>2409700</v>
      </c>
      <c r="H839">
        <f t="shared" si="13"/>
        <v>1.4545711002378716E-2</v>
      </c>
    </row>
    <row r="840" spans="1:8" x14ac:dyDescent="0.3">
      <c r="A840" s="1">
        <v>43222</v>
      </c>
      <c r="B840" s="2">
        <v>13.86</v>
      </c>
      <c r="C840" s="2">
        <v>13.87</v>
      </c>
      <c r="D840" s="2">
        <v>13.35</v>
      </c>
      <c r="E840" s="2">
        <v>13.45</v>
      </c>
      <c r="F840" s="3">
        <v>12.037768</v>
      </c>
      <c r="G840" s="4">
        <v>3181800</v>
      </c>
      <c r="H840">
        <f t="shared" si="13"/>
        <v>-2.9306126585499474E-2</v>
      </c>
    </row>
    <row r="841" spans="1:8" x14ac:dyDescent="0.3">
      <c r="A841" s="1">
        <v>43223</v>
      </c>
      <c r="B841" s="2">
        <v>13.42</v>
      </c>
      <c r="C841" s="2">
        <v>13.49</v>
      </c>
      <c r="D841" s="2">
        <v>12.8</v>
      </c>
      <c r="E841" s="2">
        <v>12.83</v>
      </c>
      <c r="F841" s="3">
        <v>11.482867000000001</v>
      </c>
      <c r="G841" s="4">
        <v>5091400</v>
      </c>
      <c r="H841">
        <f t="shared" si="13"/>
        <v>-4.7192927420303024E-2</v>
      </c>
    </row>
    <row r="842" spans="1:8" x14ac:dyDescent="0.3">
      <c r="A842" s="1">
        <v>43224</v>
      </c>
      <c r="B842" s="2">
        <v>12.83</v>
      </c>
      <c r="C842" s="2">
        <v>13.08</v>
      </c>
      <c r="D842" s="2">
        <v>12.74</v>
      </c>
      <c r="E842" s="2">
        <v>13</v>
      </c>
      <c r="F842" s="3">
        <v>11.635016999999999</v>
      </c>
      <c r="G842" s="4">
        <v>4903100</v>
      </c>
      <c r="H842">
        <f t="shared" si="13"/>
        <v>1.3163178833991779E-2</v>
      </c>
    </row>
    <row r="843" spans="1:8" x14ac:dyDescent="0.3">
      <c r="A843" s="1">
        <v>43227</v>
      </c>
      <c r="B843" s="2">
        <v>13.02</v>
      </c>
      <c r="C843" s="2">
        <v>13.03</v>
      </c>
      <c r="D843" s="2">
        <v>12.78</v>
      </c>
      <c r="E843" s="2">
        <v>12.89</v>
      </c>
      <c r="F843" s="3">
        <v>11.536568000000001</v>
      </c>
      <c r="G843" s="4">
        <v>3118500</v>
      </c>
      <c r="H843">
        <f t="shared" si="13"/>
        <v>-8.4975405104406633E-3</v>
      </c>
    </row>
    <row r="844" spans="1:8" x14ac:dyDescent="0.3">
      <c r="A844" s="1">
        <v>43228</v>
      </c>
      <c r="B844" s="2">
        <v>12.84</v>
      </c>
      <c r="C844" s="2">
        <v>12.94</v>
      </c>
      <c r="D844" s="2">
        <v>12.55</v>
      </c>
      <c r="E844" s="2">
        <v>12.79</v>
      </c>
      <c r="F844" s="3">
        <v>11.447067000000001</v>
      </c>
      <c r="G844" s="4">
        <v>3839000</v>
      </c>
      <c r="H844">
        <f t="shared" si="13"/>
        <v>-7.7882013603447616E-3</v>
      </c>
    </row>
    <row r="845" spans="1:8" x14ac:dyDescent="0.3">
      <c r="A845" s="1">
        <v>43229</v>
      </c>
      <c r="B845" s="2">
        <v>12.82</v>
      </c>
      <c r="C845" s="2">
        <v>12.96</v>
      </c>
      <c r="D845" s="2">
        <v>12.61</v>
      </c>
      <c r="E845" s="2">
        <v>12.93</v>
      </c>
      <c r="F845" s="3">
        <v>11.572368000000001</v>
      </c>
      <c r="G845" s="4">
        <v>3752900</v>
      </c>
      <c r="H845">
        <f t="shared" si="13"/>
        <v>1.0886577193014899E-2</v>
      </c>
    </row>
    <row r="846" spans="1:8" x14ac:dyDescent="0.3">
      <c r="A846" s="1">
        <v>43230</v>
      </c>
      <c r="B846" s="2">
        <v>12.96</v>
      </c>
      <c r="C846" s="2">
        <v>13.2</v>
      </c>
      <c r="D846" s="2">
        <v>12.88</v>
      </c>
      <c r="E846" s="2">
        <v>13.03</v>
      </c>
      <c r="F846" s="3">
        <v>11.661867000000001</v>
      </c>
      <c r="G846" s="4">
        <v>3118500</v>
      </c>
      <c r="H846">
        <f t="shared" si="13"/>
        <v>7.7041983529875738E-3</v>
      </c>
    </row>
    <row r="847" spans="1:8" x14ac:dyDescent="0.3">
      <c r="A847" s="1">
        <v>43231</v>
      </c>
      <c r="B847" s="2">
        <v>12.6</v>
      </c>
      <c r="C847" s="2">
        <v>12.84</v>
      </c>
      <c r="D847" s="2">
        <v>12.47</v>
      </c>
      <c r="E847" s="2">
        <v>12.71</v>
      </c>
      <c r="F847" s="3">
        <v>11.375465999999999</v>
      </c>
      <c r="G847" s="4">
        <v>5507400</v>
      </c>
      <c r="H847">
        <f t="shared" si="13"/>
        <v>-2.4865305935391008E-2</v>
      </c>
    </row>
    <row r="848" spans="1:8" x14ac:dyDescent="0.3">
      <c r="A848" s="1">
        <v>43234</v>
      </c>
      <c r="B848" s="2">
        <v>12.69</v>
      </c>
      <c r="C848" s="2">
        <v>13.48</v>
      </c>
      <c r="D848" s="2">
        <v>12.61</v>
      </c>
      <c r="E848" s="2">
        <v>13.26</v>
      </c>
      <c r="F848" s="3">
        <v>11.867718999999999</v>
      </c>
      <c r="G848" s="4">
        <v>5907400</v>
      </c>
      <c r="H848">
        <f t="shared" si="13"/>
        <v>4.2362899556353716E-2</v>
      </c>
    </row>
    <row r="849" spans="1:8" x14ac:dyDescent="0.3">
      <c r="A849" s="1">
        <v>43235</v>
      </c>
      <c r="B849" s="2">
        <v>13.25</v>
      </c>
      <c r="C849" s="2">
        <v>13.61</v>
      </c>
      <c r="D849" s="2">
        <v>13.23</v>
      </c>
      <c r="E849" s="2">
        <v>13.51</v>
      </c>
      <c r="F849" s="3">
        <v>12.091469</v>
      </c>
      <c r="G849" s="4">
        <v>3790200</v>
      </c>
      <c r="H849">
        <f t="shared" si="13"/>
        <v>1.8678167214390973E-2</v>
      </c>
    </row>
    <row r="850" spans="1:8" x14ac:dyDescent="0.3">
      <c r="A850" s="1">
        <v>43236</v>
      </c>
      <c r="B850" s="2">
        <v>13.75</v>
      </c>
      <c r="C850" s="2">
        <v>13.88</v>
      </c>
      <c r="D850" s="2">
        <v>13.33</v>
      </c>
      <c r="E850" s="2">
        <v>13.55</v>
      </c>
      <c r="F850" s="3">
        <v>12.127269</v>
      </c>
      <c r="G850" s="4">
        <v>6738500</v>
      </c>
      <c r="H850">
        <f t="shared" si="13"/>
        <v>2.9563953536025232E-3</v>
      </c>
    </row>
    <row r="851" spans="1:8" x14ac:dyDescent="0.3">
      <c r="A851" s="1">
        <v>43237</v>
      </c>
      <c r="B851" s="2">
        <v>13.5</v>
      </c>
      <c r="C851" s="2">
        <v>13.77</v>
      </c>
      <c r="D851" s="2">
        <v>13.48</v>
      </c>
      <c r="E851" s="2">
        <v>13.62</v>
      </c>
      <c r="F851" s="3">
        <v>12.189919</v>
      </c>
      <c r="G851" s="4">
        <v>2912000</v>
      </c>
      <c r="H851">
        <f t="shared" si="13"/>
        <v>5.1527533956563319E-3</v>
      </c>
    </row>
    <row r="852" spans="1:8" x14ac:dyDescent="0.3">
      <c r="A852" s="1">
        <v>43238</v>
      </c>
      <c r="B852" s="2">
        <v>13.53</v>
      </c>
      <c r="C852" s="2">
        <v>13.53</v>
      </c>
      <c r="D852" s="2">
        <v>12.26</v>
      </c>
      <c r="E852" s="2">
        <v>12.46</v>
      </c>
      <c r="F852" s="3">
        <v>11.151717</v>
      </c>
      <c r="G852" s="4">
        <v>10236900</v>
      </c>
      <c r="H852">
        <f t="shared" si="13"/>
        <v>-8.9015787362059104E-2</v>
      </c>
    </row>
    <row r="853" spans="1:8" x14ac:dyDescent="0.3">
      <c r="A853" s="1">
        <v>43241</v>
      </c>
      <c r="B853" s="2">
        <v>12.52</v>
      </c>
      <c r="C853" s="2">
        <v>12.89</v>
      </c>
      <c r="D853" s="2">
        <v>12.49</v>
      </c>
      <c r="E853" s="2">
        <v>12.78</v>
      </c>
      <c r="F853" s="3">
        <v>11.438117</v>
      </c>
      <c r="G853" s="4">
        <v>5065700</v>
      </c>
      <c r="H853">
        <f t="shared" si="13"/>
        <v>2.5357935590081475E-2</v>
      </c>
    </row>
    <row r="854" spans="1:8" x14ac:dyDescent="0.3">
      <c r="A854" s="1">
        <v>43242</v>
      </c>
      <c r="B854" s="2">
        <v>12.78</v>
      </c>
      <c r="C854" s="2">
        <v>12.91</v>
      </c>
      <c r="D854" s="2">
        <v>12.54</v>
      </c>
      <c r="E854" s="2">
        <v>12.67</v>
      </c>
      <c r="F854" s="3">
        <v>11.339667</v>
      </c>
      <c r="G854" s="4">
        <v>4542400</v>
      </c>
      <c r="H854">
        <f t="shared" si="13"/>
        <v>-8.6444546163409637E-3</v>
      </c>
    </row>
    <row r="855" spans="1:8" x14ac:dyDescent="0.3">
      <c r="A855" s="1">
        <v>43243</v>
      </c>
      <c r="B855" s="2">
        <v>12.54</v>
      </c>
      <c r="C855" s="2">
        <v>12.75</v>
      </c>
      <c r="D855" s="2">
        <v>12.44</v>
      </c>
      <c r="E855" s="2">
        <v>12.72</v>
      </c>
      <c r="F855" s="3">
        <v>11.384418</v>
      </c>
      <c r="G855" s="4">
        <v>3160100</v>
      </c>
      <c r="H855">
        <f t="shared" si="13"/>
        <v>3.938563578928439E-3</v>
      </c>
    </row>
    <row r="856" spans="1:8" x14ac:dyDescent="0.3">
      <c r="A856" s="1">
        <v>43244</v>
      </c>
      <c r="B856" s="2">
        <v>12.58</v>
      </c>
      <c r="C856" s="2">
        <v>12.78</v>
      </c>
      <c r="D856" s="2">
        <v>12.45</v>
      </c>
      <c r="E856" s="2">
        <v>12.74</v>
      </c>
      <c r="F856" s="3">
        <v>11.402317</v>
      </c>
      <c r="G856" s="4">
        <v>3077000</v>
      </c>
      <c r="H856">
        <f t="shared" si="13"/>
        <v>1.5710922320411461E-3</v>
      </c>
    </row>
    <row r="857" spans="1:8" x14ac:dyDescent="0.3">
      <c r="A857" s="1">
        <v>43245</v>
      </c>
      <c r="B857" s="2">
        <v>12.76</v>
      </c>
      <c r="C857" s="2">
        <v>12.8</v>
      </c>
      <c r="D857" s="2">
        <v>12.58</v>
      </c>
      <c r="E857" s="2">
        <v>12.67</v>
      </c>
      <c r="F857" s="3">
        <v>11.339667</v>
      </c>
      <c r="G857" s="4">
        <v>2444000</v>
      </c>
      <c r="H857">
        <f t="shared" si="13"/>
        <v>-5.5096558109695845E-3</v>
      </c>
    </row>
    <row r="858" spans="1:8" x14ac:dyDescent="0.3">
      <c r="A858" s="1">
        <v>43249</v>
      </c>
      <c r="B858" s="2">
        <v>12.58</v>
      </c>
      <c r="C858" s="2">
        <v>13.11</v>
      </c>
      <c r="D858" s="2">
        <v>12.55</v>
      </c>
      <c r="E858" s="2">
        <v>13.05</v>
      </c>
      <c r="F858" s="3">
        <v>11.679767999999999</v>
      </c>
      <c r="G858" s="4">
        <v>4240700</v>
      </c>
      <c r="H858">
        <f t="shared" si="13"/>
        <v>2.9551139435654749E-2</v>
      </c>
    </row>
    <row r="859" spans="1:8" x14ac:dyDescent="0.3">
      <c r="A859" s="1">
        <v>43250</v>
      </c>
      <c r="B859" s="2">
        <v>13.1</v>
      </c>
      <c r="C859" s="2">
        <v>13.6</v>
      </c>
      <c r="D859" s="2">
        <v>12.89</v>
      </c>
      <c r="E859" s="2">
        <v>13.42</v>
      </c>
      <c r="F859" s="3">
        <v>12.010918999999999</v>
      </c>
      <c r="G859" s="4">
        <v>4991300</v>
      </c>
      <c r="H859">
        <f t="shared" si="13"/>
        <v>2.7957997774833206E-2</v>
      </c>
    </row>
    <row r="860" spans="1:8" x14ac:dyDescent="0.3">
      <c r="A860" s="1">
        <v>43251</v>
      </c>
      <c r="B860" s="2">
        <v>13.48</v>
      </c>
      <c r="C860" s="2">
        <v>13.59</v>
      </c>
      <c r="D860" s="2">
        <v>12.97</v>
      </c>
      <c r="E860" s="2">
        <v>13.2</v>
      </c>
      <c r="F860" s="3">
        <v>11.814017</v>
      </c>
      <c r="G860" s="4">
        <v>6489200</v>
      </c>
      <c r="H860">
        <f t="shared" si="13"/>
        <v>-1.6529301951210582E-2</v>
      </c>
    </row>
    <row r="861" spans="1:8" x14ac:dyDescent="0.3">
      <c r="A861" s="1">
        <v>43252</v>
      </c>
      <c r="B861" s="2">
        <v>12.8</v>
      </c>
      <c r="C861" s="2">
        <v>13.72</v>
      </c>
      <c r="D861" s="2">
        <v>12.79</v>
      </c>
      <c r="E861" s="2">
        <v>13.72</v>
      </c>
      <c r="F861" s="3">
        <v>12.279419000000001</v>
      </c>
      <c r="G861" s="4">
        <v>25824000</v>
      </c>
      <c r="H861">
        <f t="shared" si="13"/>
        <v>3.8637792705414134E-2</v>
      </c>
    </row>
    <row r="862" spans="1:8" x14ac:dyDescent="0.3">
      <c r="A862" s="1">
        <v>43255</v>
      </c>
      <c r="B862" s="2">
        <v>13.79</v>
      </c>
      <c r="C862" s="2">
        <v>14.25</v>
      </c>
      <c r="D862" s="2">
        <v>13.44</v>
      </c>
      <c r="E862" s="2">
        <v>14.24</v>
      </c>
      <c r="F862" s="3">
        <v>12.744819</v>
      </c>
      <c r="G862" s="4">
        <v>7296600</v>
      </c>
      <c r="H862">
        <f t="shared" si="13"/>
        <v>3.7200283686090491E-2</v>
      </c>
    </row>
    <row r="863" spans="1:8" x14ac:dyDescent="0.3">
      <c r="A863" s="1">
        <v>43256</v>
      </c>
      <c r="B863" s="2">
        <v>14.24</v>
      </c>
      <c r="C863" s="2">
        <v>14.65</v>
      </c>
      <c r="D863" s="2">
        <v>14</v>
      </c>
      <c r="E863" s="2">
        <v>14.6</v>
      </c>
      <c r="F863" s="3">
        <v>13.067019</v>
      </c>
      <c r="G863" s="4">
        <v>5696500</v>
      </c>
      <c r="H863">
        <f t="shared" si="13"/>
        <v>2.4966622730460946E-2</v>
      </c>
    </row>
    <row r="864" spans="1:8" x14ac:dyDescent="0.3">
      <c r="A864" s="1">
        <v>43257</v>
      </c>
      <c r="B864" s="2">
        <v>14.68</v>
      </c>
      <c r="C864" s="2">
        <v>14.69</v>
      </c>
      <c r="D864" s="2">
        <v>14.25</v>
      </c>
      <c r="E864" s="2">
        <v>14.42</v>
      </c>
      <c r="F864" s="3">
        <v>12.90592</v>
      </c>
      <c r="G864" s="4">
        <v>5148600</v>
      </c>
      <c r="H864">
        <f t="shared" si="13"/>
        <v>-1.2405396857487741E-2</v>
      </c>
    </row>
    <row r="865" spans="1:8" x14ac:dyDescent="0.3">
      <c r="A865" s="1">
        <v>43258</v>
      </c>
      <c r="B865" s="2">
        <v>14.5</v>
      </c>
      <c r="C865" s="2">
        <v>14.65</v>
      </c>
      <c r="D865" s="2">
        <v>14.37</v>
      </c>
      <c r="E865" s="2">
        <v>14.49</v>
      </c>
      <c r="F865" s="3">
        <v>12.96857</v>
      </c>
      <c r="G865" s="4">
        <v>3213500</v>
      </c>
      <c r="H865">
        <f t="shared" si="13"/>
        <v>4.8426244757879908E-3</v>
      </c>
    </row>
    <row r="866" spans="1:8" x14ac:dyDescent="0.3">
      <c r="A866" s="1">
        <v>43259</v>
      </c>
      <c r="B866" s="2">
        <v>14.53</v>
      </c>
      <c r="C866" s="2">
        <v>14.62</v>
      </c>
      <c r="D866" s="2">
        <v>14.41</v>
      </c>
      <c r="E866" s="2">
        <v>14.53</v>
      </c>
      <c r="F866" s="3">
        <v>13.004369000000001</v>
      </c>
      <c r="G866" s="4">
        <v>5031000</v>
      </c>
      <c r="H866">
        <f t="shared" si="13"/>
        <v>2.7567212496005058E-3</v>
      </c>
    </row>
    <row r="867" spans="1:8" x14ac:dyDescent="0.3">
      <c r="A867" s="1">
        <v>43262</v>
      </c>
      <c r="B867" s="2">
        <v>14.15</v>
      </c>
      <c r="C867" s="2">
        <v>14.33</v>
      </c>
      <c r="D867" s="2">
        <v>14.06</v>
      </c>
      <c r="E867" s="2">
        <v>14.29</v>
      </c>
      <c r="F867" s="3">
        <v>13.133035</v>
      </c>
      <c r="G867" s="4">
        <v>4717800</v>
      </c>
      <c r="H867">
        <f t="shared" si="13"/>
        <v>-1.6655485640415534E-2</v>
      </c>
    </row>
    <row r="868" spans="1:8" x14ac:dyDescent="0.3">
      <c r="A868" s="1">
        <v>43263</v>
      </c>
      <c r="B868" s="2">
        <v>14.32</v>
      </c>
      <c r="C868" s="2">
        <v>14.37</v>
      </c>
      <c r="D868" s="2">
        <v>14.05</v>
      </c>
      <c r="E868" s="2">
        <v>14.05</v>
      </c>
      <c r="F868" s="3">
        <v>12.912466</v>
      </c>
      <c r="G868" s="4">
        <v>3384100</v>
      </c>
      <c r="H868">
        <f t="shared" si="13"/>
        <v>-1.6937596162021198E-2</v>
      </c>
    </row>
    <row r="869" spans="1:8" x14ac:dyDescent="0.3">
      <c r="A869" s="1">
        <v>43264</v>
      </c>
      <c r="B869" s="2">
        <v>13.97</v>
      </c>
      <c r="C869" s="2">
        <v>13.97</v>
      </c>
      <c r="D869" s="2">
        <v>13.05</v>
      </c>
      <c r="E869" s="2">
        <v>13.33</v>
      </c>
      <c r="F869" s="3">
        <v>12.250759</v>
      </c>
      <c r="G869" s="4">
        <v>8824100</v>
      </c>
      <c r="H869">
        <f t="shared" si="13"/>
        <v>-5.260526158913751E-2</v>
      </c>
    </row>
    <row r="870" spans="1:8" x14ac:dyDescent="0.3">
      <c r="A870" s="1">
        <v>43265</v>
      </c>
      <c r="B870" s="2">
        <v>13.3</v>
      </c>
      <c r="C870" s="2">
        <v>13.32</v>
      </c>
      <c r="D870" s="2">
        <v>12.7</v>
      </c>
      <c r="E870" s="2">
        <v>12.85</v>
      </c>
      <c r="F870" s="3">
        <v>11.809623</v>
      </c>
      <c r="G870" s="4">
        <v>7532200</v>
      </c>
      <c r="H870">
        <f t="shared" si="13"/>
        <v>-3.6673322849388554E-2</v>
      </c>
    </row>
    <row r="871" spans="1:8" x14ac:dyDescent="0.3">
      <c r="A871" s="1">
        <v>43266</v>
      </c>
      <c r="B871" s="2">
        <v>12.76</v>
      </c>
      <c r="C871" s="2">
        <v>14.36</v>
      </c>
      <c r="D871" s="2">
        <v>12.76</v>
      </c>
      <c r="E871" s="2">
        <v>13.96</v>
      </c>
      <c r="F871" s="3">
        <v>12.829753</v>
      </c>
      <c r="G871" s="4">
        <v>13142700</v>
      </c>
      <c r="H871">
        <f t="shared" si="13"/>
        <v>8.2852285992997737E-2</v>
      </c>
    </row>
    <row r="872" spans="1:8" x14ac:dyDescent="0.3">
      <c r="A872" s="1">
        <v>43269</v>
      </c>
      <c r="B872" s="2">
        <v>13.95</v>
      </c>
      <c r="C872" s="2">
        <v>15.78</v>
      </c>
      <c r="D872" s="2">
        <v>13.37</v>
      </c>
      <c r="E872" s="2">
        <v>15.2</v>
      </c>
      <c r="F872" s="3">
        <v>13.969358</v>
      </c>
      <c r="G872" s="4">
        <v>23788900</v>
      </c>
      <c r="H872">
        <f t="shared" si="13"/>
        <v>8.5099330518004127E-2</v>
      </c>
    </row>
    <row r="873" spans="1:8" x14ac:dyDescent="0.3">
      <c r="A873" s="1">
        <v>43270</v>
      </c>
      <c r="B873" s="2">
        <v>15.35</v>
      </c>
      <c r="C873" s="2">
        <v>15.76</v>
      </c>
      <c r="D873" s="2">
        <v>15.1</v>
      </c>
      <c r="E873" s="2">
        <v>15.75</v>
      </c>
      <c r="F873" s="3">
        <v>14.474829</v>
      </c>
      <c r="G873" s="4">
        <v>10140600</v>
      </c>
      <c r="H873">
        <f t="shared" si="13"/>
        <v>3.5544937419411497E-2</v>
      </c>
    </row>
    <row r="874" spans="1:8" x14ac:dyDescent="0.3">
      <c r="A874" s="1">
        <v>43271</v>
      </c>
      <c r="B874" s="2">
        <v>15.78</v>
      </c>
      <c r="C874" s="2">
        <v>15.81</v>
      </c>
      <c r="D874" s="2">
        <v>15.32</v>
      </c>
      <c r="E874" s="2">
        <v>15.71</v>
      </c>
      <c r="F874" s="3">
        <v>14.438067</v>
      </c>
      <c r="G874" s="4">
        <v>5164200</v>
      </c>
      <c r="H874">
        <f t="shared" si="13"/>
        <v>-2.5429130041122487E-3</v>
      </c>
    </row>
    <row r="875" spans="1:8" x14ac:dyDescent="0.3">
      <c r="A875" s="1">
        <v>43272</v>
      </c>
      <c r="B875" s="2">
        <v>15.81</v>
      </c>
      <c r="C875" s="2">
        <v>15.98</v>
      </c>
      <c r="D875" s="2">
        <v>15.49</v>
      </c>
      <c r="E875" s="2">
        <v>15.53</v>
      </c>
      <c r="F875" s="3">
        <v>14.272640000000001</v>
      </c>
      <c r="G875" s="4">
        <v>3563100</v>
      </c>
      <c r="H875">
        <f t="shared" si="13"/>
        <v>-1.1523815106934216E-2</v>
      </c>
    </row>
    <row r="876" spans="1:8" x14ac:dyDescent="0.3">
      <c r="A876" s="1">
        <v>43273</v>
      </c>
      <c r="B876" s="2">
        <v>15.55</v>
      </c>
      <c r="C876" s="2">
        <v>15.69</v>
      </c>
      <c r="D876" s="2">
        <v>15.11</v>
      </c>
      <c r="E876" s="2">
        <v>15.52</v>
      </c>
      <c r="F876" s="3">
        <v>14.263450000000001</v>
      </c>
      <c r="G876" s="4">
        <v>9577200</v>
      </c>
      <c r="H876">
        <f t="shared" si="13"/>
        <v>-6.4412240552302088E-4</v>
      </c>
    </row>
    <row r="877" spans="1:8" x14ac:dyDescent="0.3">
      <c r="A877" s="1">
        <v>43276</v>
      </c>
      <c r="B877" s="2">
        <v>15.41</v>
      </c>
      <c r="C877" s="2">
        <v>15.72</v>
      </c>
      <c r="D877" s="2">
        <v>14.94</v>
      </c>
      <c r="E877" s="2">
        <v>15.11</v>
      </c>
      <c r="F877" s="3">
        <v>13.886644</v>
      </c>
      <c r="G877" s="4">
        <v>2684700</v>
      </c>
      <c r="H877">
        <f t="shared" si="13"/>
        <v>-2.6772738470424509E-2</v>
      </c>
    </row>
    <row r="878" spans="1:8" x14ac:dyDescent="0.3">
      <c r="A878" s="1">
        <v>43277</v>
      </c>
      <c r="B878" s="2">
        <v>15.19</v>
      </c>
      <c r="C878" s="2">
        <v>15.2</v>
      </c>
      <c r="D878" s="2">
        <v>14.69</v>
      </c>
      <c r="E878" s="2">
        <v>14.97</v>
      </c>
      <c r="F878" s="3">
        <v>13.757979000000001</v>
      </c>
      <c r="G878" s="4">
        <v>2697500</v>
      </c>
      <c r="H878">
        <f t="shared" si="13"/>
        <v>-9.3085778531111565E-3</v>
      </c>
    </row>
    <row r="879" spans="1:8" x14ac:dyDescent="0.3">
      <c r="A879" s="1">
        <v>43278</v>
      </c>
      <c r="B879" s="2">
        <v>15</v>
      </c>
      <c r="C879" s="2">
        <v>15.17</v>
      </c>
      <c r="D879" s="2">
        <v>14.58</v>
      </c>
      <c r="E879" s="2">
        <v>14.6</v>
      </c>
      <c r="F879" s="3">
        <v>13.417935999999999</v>
      </c>
      <c r="G879" s="4">
        <v>2255700</v>
      </c>
      <c r="H879">
        <f t="shared" si="13"/>
        <v>-2.5026669717246298E-2</v>
      </c>
    </row>
    <row r="880" spans="1:8" x14ac:dyDescent="0.3">
      <c r="A880" s="1">
        <v>43279</v>
      </c>
      <c r="B880" s="2">
        <v>14.59</v>
      </c>
      <c r="C880" s="2">
        <v>14.89</v>
      </c>
      <c r="D880" s="2">
        <v>14.49</v>
      </c>
      <c r="E880" s="2">
        <v>14.88</v>
      </c>
      <c r="F880" s="3">
        <v>13.675266000000001</v>
      </c>
      <c r="G880" s="4">
        <v>1905200</v>
      </c>
      <c r="H880">
        <f t="shared" si="13"/>
        <v>1.8996500690655085E-2</v>
      </c>
    </row>
    <row r="881" spans="1:8" x14ac:dyDescent="0.3">
      <c r="A881" s="1">
        <v>43280</v>
      </c>
      <c r="B881" s="2">
        <v>14.99</v>
      </c>
      <c r="C881" s="2">
        <v>15.07</v>
      </c>
      <c r="D881" s="2">
        <v>14.51</v>
      </c>
      <c r="E881" s="2">
        <v>14.57</v>
      </c>
      <c r="F881" s="3">
        <v>13.390366</v>
      </c>
      <c r="G881" s="4">
        <v>3401100</v>
      </c>
      <c r="H881">
        <f t="shared" si="13"/>
        <v>-2.1053409197832381E-2</v>
      </c>
    </row>
    <row r="882" spans="1:8" x14ac:dyDescent="0.3">
      <c r="A882" s="1">
        <v>43283</v>
      </c>
      <c r="B882" s="2">
        <v>14.59</v>
      </c>
      <c r="C882" s="2">
        <v>14.7</v>
      </c>
      <c r="D882" s="2">
        <v>14.03</v>
      </c>
      <c r="E882" s="2">
        <v>14.16</v>
      </c>
      <c r="F882" s="3">
        <v>13.013559000000001</v>
      </c>
      <c r="G882" s="4">
        <v>3723300</v>
      </c>
      <c r="H882">
        <f t="shared" si="13"/>
        <v>-2.8543531941539742E-2</v>
      </c>
    </row>
    <row r="883" spans="1:8" x14ac:dyDescent="0.3">
      <c r="A883" s="1">
        <v>43284</v>
      </c>
      <c r="B883" s="2">
        <v>14.17</v>
      </c>
      <c r="C883" s="2">
        <v>14.31</v>
      </c>
      <c r="D883" s="2">
        <v>14</v>
      </c>
      <c r="E883" s="2">
        <v>14.05</v>
      </c>
      <c r="F883" s="3">
        <v>12.912466</v>
      </c>
      <c r="G883" s="4">
        <v>1289300</v>
      </c>
      <c r="H883">
        <f t="shared" si="13"/>
        <v>-7.7986924858188724E-3</v>
      </c>
    </row>
    <row r="884" spans="1:8" x14ac:dyDescent="0.3">
      <c r="A884" s="1">
        <v>43286</v>
      </c>
      <c r="B884" s="2">
        <v>14.08</v>
      </c>
      <c r="C884" s="2">
        <v>14.7</v>
      </c>
      <c r="D884" s="2">
        <v>14.04</v>
      </c>
      <c r="E884" s="2">
        <v>14.63</v>
      </c>
      <c r="F884" s="3">
        <v>13.445506999999999</v>
      </c>
      <c r="G884" s="4">
        <v>4721800</v>
      </c>
      <c r="H884">
        <f t="shared" si="13"/>
        <v>4.0451819252278171E-2</v>
      </c>
    </row>
    <row r="885" spans="1:8" x14ac:dyDescent="0.3">
      <c r="A885" s="1">
        <v>43287</v>
      </c>
      <c r="B885" s="2">
        <v>14.67</v>
      </c>
      <c r="C885" s="2">
        <v>15.23</v>
      </c>
      <c r="D885" s="2">
        <v>14.64</v>
      </c>
      <c r="E885" s="2">
        <v>15.15</v>
      </c>
      <c r="F885" s="3">
        <v>13.923406</v>
      </c>
      <c r="G885" s="4">
        <v>4051100</v>
      </c>
      <c r="H885">
        <f t="shared" si="13"/>
        <v>3.4926316923345267E-2</v>
      </c>
    </row>
    <row r="886" spans="1:8" x14ac:dyDescent="0.3">
      <c r="A886" s="1">
        <v>43290</v>
      </c>
      <c r="B886" s="2">
        <v>15.57</v>
      </c>
      <c r="C886" s="2">
        <v>15.63</v>
      </c>
      <c r="D886" s="2">
        <v>15.17</v>
      </c>
      <c r="E886" s="2">
        <v>15.47</v>
      </c>
      <c r="F886" s="3">
        <v>14.217498000000001</v>
      </c>
      <c r="G886" s="4">
        <v>3919500</v>
      </c>
      <c r="H886">
        <f t="shared" si="13"/>
        <v>2.0902132629596549E-2</v>
      </c>
    </row>
    <row r="887" spans="1:8" x14ac:dyDescent="0.3">
      <c r="A887" s="1">
        <v>43291</v>
      </c>
      <c r="B887" s="2">
        <v>15.53</v>
      </c>
      <c r="C887" s="2">
        <v>15.54</v>
      </c>
      <c r="D887" s="2">
        <v>14.81</v>
      </c>
      <c r="E887" s="2">
        <v>14.86</v>
      </c>
      <c r="F887" s="3">
        <v>13.656885000000001</v>
      </c>
      <c r="G887" s="4">
        <v>2916700</v>
      </c>
      <c r="H887">
        <f t="shared" si="13"/>
        <v>-4.0229625295361733E-2</v>
      </c>
    </row>
    <row r="888" spans="1:8" x14ac:dyDescent="0.3">
      <c r="A888" s="1">
        <v>43292</v>
      </c>
      <c r="B888" s="2">
        <v>14.77</v>
      </c>
      <c r="C888" s="2">
        <v>14.83</v>
      </c>
      <c r="D888" s="2">
        <v>14.46</v>
      </c>
      <c r="E888" s="2">
        <v>14.7</v>
      </c>
      <c r="F888" s="3">
        <v>13.509838999999999</v>
      </c>
      <c r="G888" s="4">
        <v>2287700</v>
      </c>
      <c r="H888">
        <f t="shared" si="13"/>
        <v>-1.0825545504922447E-2</v>
      </c>
    </row>
    <row r="889" spans="1:8" x14ac:dyDescent="0.3">
      <c r="A889" s="1">
        <v>43293</v>
      </c>
      <c r="B889" s="2">
        <v>14.75</v>
      </c>
      <c r="C889" s="2">
        <v>15.12</v>
      </c>
      <c r="D889" s="2">
        <v>14.74</v>
      </c>
      <c r="E889" s="2">
        <v>15.09</v>
      </c>
      <c r="F889" s="3">
        <v>13.868264999999999</v>
      </c>
      <c r="G889" s="4">
        <v>1925900</v>
      </c>
      <c r="H889">
        <f t="shared" si="13"/>
        <v>2.6184778995067007E-2</v>
      </c>
    </row>
    <row r="890" spans="1:8" x14ac:dyDescent="0.3">
      <c r="A890" s="1">
        <v>43294</v>
      </c>
      <c r="B890" s="2">
        <v>14.99</v>
      </c>
      <c r="C890" s="2">
        <v>15.46</v>
      </c>
      <c r="D890" s="2">
        <v>14.99</v>
      </c>
      <c r="E890" s="2">
        <v>15.28</v>
      </c>
      <c r="F890" s="3">
        <v>14.042882000000001</v>
      </c>
      <c r="G890" s="4">
        <v>2332200</v>
      </c>
      <c r="H890">
        <f t="shared" si="13"/>
        <v>1.2512510958616952E-2</v>
      </c>
    </row>
    <row r="891" spans="1:8" x14ac:dyDescent="0.3">
      <c r="A891" s="1">
        <v>43297</v>
      </c>
      <c r="B891" s="2">
        <v>15.27</v>
      </c>
      <c r="C891" s="2">
        <v>15.38</v>
      </c>
      <c r="D891" s="2">
        <v>15.06</v>
      </c>
      <c r="E891" s="2">
        <v>15.22</v>
      </c>
      <c r="F891" s="3">
        <v>13.987738999999999</v>
      </c>
      <c r="G891" s="4">
        <v>1806500</v>
      </c>
      <c r="H891">
        <f t="shared" si="13"/>
        <v>-3.9344313048345616E-3</v>
      </c>
    </row>
    <row r="892" spans="1:8" x14ac:dyDescent="0.3">
      <c r="A892" s="1">
        <v>43298</v>
      </c>
      <c r="B892" s="2">
        <v>15.17</v>
      </c>
      <c r="C892" s="2">
        <v>15.42</v>
      </c>
      <c r="D892" s="2">
        <v>14.54</v>
      </c>
      <c r="E892" s="2">
        <v>14.58</v>
      </c>
      <c r="F892" s="3">
        <v>13.399556</v>
      </c>
      <c r="G892" s="4">
        <v>3045100</v>
      </c>
      <c r="H892">
        <f t="shared" si="13"/>
        <v>-4.2959625853027705E-2</v>
      </c>
    </row>
    <row r="893" spans="1:8" x14ac:dyDescent="0.3">
      <c r="A893" s="1">
        <v>43299</v>
      </c>
      <c r="B893" s="2">
        <v>14.6</v>
      </c>
      <c r="C893" s="2">
        <v>14.65</v>
      </c>
      <c r="D893" s="2">
        <v>14.32</v>
      </c>
      <c r="E893" s="2">
        <v>14.58</v>
      </c>
      <c r="F893" s="3">
        <v>13.399556</v>
      </c>
      <c r="G893" s="4">
        <v>2049700</v>
      </c>
      <c r="H893">
        <f t="shared" si="13"/>
        <v>0</v>
      </c>
    </row>
    <row r="894" spans="1:8" x14ac:dyDescent="0.3">
      <c r="A894" s="1">
        <v>43300</v>
      </c>
      <c r="B894" s="2">
        <v>14.58</v>
      </c>
      <c r="C894" s="2">
        <v>15.03</v>
      </c>
      <c r="D894" s="2">
        <v>14.5</v>
      </c>
      <c r="E894" s="2">
        <v>14.92</v>
      </c>
      <c r="F894" s="3">
        <v>13.712028</v>
      </c>
      <c r="G894" s="4">
        <v>1728400</v>
      </c>
      <c r="H894">
        <f t="shared" si="13"/>
        <v>2.3051868195102635E-2</v>
      </c>
    </row>
    <row r="895" spans="1:8" x14ac:dyDescent="0.3">
      <c r="A895" s="1">
        <v>43301</v>
      </c>
      <c r="B895" s="2">
        <v>14.91</v>
      </c>
      <c r="C895" s="2">
        <v>15.21</v>
      </c>
      <c r="D895" s="2">
        <v>14.88</v>
      </c>
      <c r="E895" s="2">
        <v>15.08</v>
      </c>
      <c r="F895" s="3">
        <v>13.859074</v>
      </c>
      <c r="G895" s="4">
        <v>2147900</v>
      </c>
      <c r="H895">
        <f t="shared" si="13"/>
        <v>1.0666767804195228E-2</v>
      </c>
    </row>
    <row r="896" spans="1:8" x14ac:dyDescent="0.3">
      <c r="A896" s="1">
        <v>43304</v>
      </c>
      <c r="B896" s="2">
        <v>15.05</v>
      </c>
      <c r="C896" s="2">
        <v>15.09</v>
      </c>
      <c r="D896" s="2">
        <v>14.78</v>
      </c>
      <c r="E896" s="2">
        <v>14.89</v>
      </c>
      <c r="F896" s="3">
        <v>13.684457</v>
      </c>
      <c r="G896" s="4">
        <v>1833800</v>
      </c>
      <c r="H896">
        <f t="shared" si="13"/>
        <v>-1.2679515883892375E-2</v>
      </c>
    </row>
    <row r="897" spans="1:8" x14ac:dyDescent="0.3">
      <c r="A897" s="1">
        <v>43305</v>
      </c>
      <c r="B897" s="2">
        <v>14.98</v>
      </c>
      <c r="C897" s="2">
        <v>14.98</v>
      </c>
      <c r="D897" s="2">
        <v>14.66</v>
      </c>
      <c r="E897" s="2">
        <v>14.78</v>
      </c>
      <c r="F897" s="3">
        <v>13.583363</v>
      </c>
      <c r="G897" s="4">
        <v>1542600</v>
      </c>
      <c r="H897">
        <f t="shared" si="13"/>
        <v>-7.4149311758619904E-3</v>
      </c>
    </row>
    <row r="898" spans="1:8" x14ac:dyDescent="0.3">
      <c r="A898" s="1">
        <v>43306</v>
      </c>
      <c r="B898" s="2">
        <v>14.69</v>
      </c>
      <c r="C898" s="2">
        <v>14.7</v>
      </c>
      <c r="D898" s="2">
        <v>14.25</v>
      </c>
      <c r="E898" s="2">
        <v>14.51</v>
      </c>
      <c r="F898" s="3">
        <v>13.335222999999999</v>
      </c>
      <c r="G898" s="4">
        <v>3345000</v>
      </c>
      <c r="H898">
        <f t="shared" si="13"/>
        <v>-1.8436848623959241E-2</v>
      </c>
    </row>
    <row r="899" spans="1:8" x14ac:dyDescent="0.3">
      <c r="A899" s="1">
        <v>43307</v>
      </c>
      <c r="B899" s="2">
        <v>14.51</v>
      </c>
      <c r="C899" s="2">
        <v>15.04</v>
      </c>
      <c r="D899" s="2">
        <v>14.5</v>
      </c>
      <c r="E899" s="2">
        <v>14.81</v>
      </c>
      <c r="F899" s="3">
        <v>13.610934</v>
      </c>
      <c r="G899" s="4">
        <v>1689200</v>
      </c>
      <c r="H899">
        <f t="shared" si="13"/>
        <v>2.0464561383611003E-2</v>
      </c>
    </row>
    <row r="900" spans="1:8" x14ac:dyDescent="0.3">
      <c r="A900" s="1">
        <v>43308</v>
      </c>
      <c r="B900" s="2">
        <v>14.91</v>
      </c>
      <c r="C900" s="2">
        <v>14.97</v>
      </c>
      <c r="D900" s="2">
        <v>14.55</v>
      </c>
      <c r="E900" s="2">
        <v>14.83</v>
      </c>
      <c r="F900" s="3">
        <v>13.629315</v>
      </c>
      <c r="G900" s="4">
        <v>1414500</v>
      </c>
      <c r="H900">
        <f t="shared" ref="H900:H963" si="14">LN(E900/E899)</f>
        <v>1.3495278701331761E-3</v>
      </c>
    </row>
    <row r="901" spans="1:8" x14ac:dyDescent="0.3">
      <c r="A901" s="1">
        <v>43311</v>
      </c>
      <c r="B901" s="2">
        <v>14.88</v>
      </c>
      <c r="C901" s="2">
        <v>14.98</v>
      </c>
      <c r="D901" s="2">
        <v>14.59</v>
      </c>
      <c r="E901" s="2">
        <v>14.7</v>
      </c>
      <c r="F901" s="3">
        <v>13.509838999999999</v>
      </c>
      <c r="G901" s="4">
        <v>1577800</v>
      </c>
      <c r="H901">
        <f t="shared" si="14"/>
        <v>-8.8046623651501076E-3</v>
      </c>
    </row>
    <row r="902" spans="1:8" x14ac:dyDescent="0.3">
      <c r="A902" s="1">
        <v>43312</v>
      </c>
      <c r="B902" s="2">
        <v>14.72</v>
      </c>
      <c r="C902" s="2">
        <v>14.73</v>
      </c>
      <c r="D902" s="2">
        <v>14.41</v>
      </c>
      <c r="E902" s="2">
        <v>14.41</v>
      </c>
      <c r="F902" s="3">
        <v>13.243319</v>
      </c>
      <c r="G902" s="4">
        <v>2757500</v>
      </c>
      <c r="H902">
        <f t="shared" si="14"/>
        <v>-1.9925083773259876E-2</v>
      </c>
    </row>
    <row r="903" spans="1:8" x14ac:dyDescent="0.3">
      <c r="A903" s="1">
        <v>43313</v>
      </c>
      <c r="B903" s="2">
        <v>14.42</v>
      </c>
      <c r="C903" s="2">
        <v>14.88</v>
      </c>
      <c r="D903" s="2">
        <v>14.4</v>
      </c>
      <c r="E903" s="2">
        <v>14.73</v>
      </c>
      <c r="F903" s="3">
        <v>13.537411000000001</v>
      </c>
      <c r="G903" s="4">
        <v>2079700</v>
      </c>
      <c r="H903">
        <f t="shared" si="14"/>
        <v>2.1963820463108099E-2</v>
      </c>
    </row>
    <row r="904" spans="1:8" x14ac:dyDescent="0.3">
      <c r="A904" s="1">
        <v>43314</v>
      </c>
      <c r="B904" s="2">
        <v>14.61</v>
      </c>
      <c r="C904" s="2">
        <v>14.78</v>
      </c>
      <c r="D904" s="2">
        <v>14.41</v>
      </c>
      <c r="E904" s="2">
        <v>14.62</v>
      </c>
      <c r="F904" s="3">
        <v>13.436316</v>
      </c>
      <c r="G904" s="4">
        <v>2529100</v>
      </c>
      <c r="H904">
        <f t="shared" si="14"/>
        <v>-7.495776152906539E-3</v>
      </c>
    </row>
    <row r="905" spans="1:8" x14ac:dyDescent="0.3">
      <c r="A905" s="1">
        <v>43315</v>
      </c>
      <c r="B905" s="2">
        <v>14.69</v>
      </c>
      <c r="C905" s="2">
        <v>14.9</v>
      </c>
      <c r="D905" s="2">
        <v>14.6</v>
      </c>
      <c r="E905" s="2">
        <v>14.85</v>
      </c>
      <c r="F905" s="3">
        <v>13.647696</v>
      </c>
      <c r="G905" s="4">
        <v>2557200</v>
      </c>
      <c r="H905">
        <f t="shared" si="14"/>
        <v>1.5609410927076104E-2</v>
      </c>
    </row>
    <row r="906" spans="1:8" x14ac:dyDescent="0.3">
      <c r="A906" s="1">
        <v>43318</v>
      </c>
      <c r="B906" s="2">
        <v>14.88</v>
      </c>
      <c r="C906" s="2">
        <v>14.98</v>
      </c>
      <c r="D906" s="2">
        <v>14.74</v>
      </c>
      <c r="E906" s="2">
        <v>14.86</v>
      </c>
      <c r="F906" s="3">
        <v>13.656885000000001</v>
      </c>
      <c r="G906" s="4">
        <v>2075000</v>
      </c>
      <c r="H906">
        <f t="shared" si="14"/>
        <v>6.7317404090441182E-4</v>
      </c>
    </row>
    <row r="907" spans="1:8" x14ac:dyDescent="0.3">
      <c r="A907" s="1">
        <v>43319</v>
      </c>
      <c r="B907" s="2">
        <v>14.92</v>
      </c>
      <c r="C907" s="2">
        <v>15.22</v>
      </c>
      <c r="D907" s="2">
        <v>14.82</v>
      </c>
      <c r="E907" s="2">
        <v>15.12</v>
      </c>
      <c r="F907" s="3">
        <v>13.895835999999999</v>
      </c>
      <c r="G907" s="4">
        <v>1953400</v>
      </c>
      <c r="H907">
        <f t="shared" si="14"/>
        <v>1.7345331461773795E-2</v>
      </c>
    </row>
    <row r="908" spans="1:8" x14ac:dyDescent="0.3">
      <c r="A908" s="1">
        <v>43320</v>
      </c>
      <c r="B908" s="2">
        <v>15.12</v>
      </c>
      <c r="C908" s="2">
        <v>15.32</v>
      </c>
      <c r="D908" s="2">
        <v>15.01</v>
      </c>
      <c r="E908" s="2">
        <v>15.25</v>
      </c>
      <c r="F908" s="3">
        <v>14.015309</v>
      </c>
      <c r="G908" s="4">
        <v>2178900</v>
      </c>
      <c r="H908">
        <f t="shared" si="14"/>
        <v>8.5611323020338068E-3</v>
      </c>
    </row>
    <row r="909" spans="1:8" x14ac:dyDescent="0.3">
      <c r="A909" s="1">
        <v>43321</v>
      </c>
      <c r="B909" s="2">
        <v>15.25</v>
      </c>
      <c r="C909" s="2">
        <v>15.46</v>
      </c>
      <c r="D909" s="2">
        <v>14.98</v>
      </c>
      <c r="E909" s="2">
        <v>15.21</v>
      </c>
      <c r="F909" s="3">
        <v>13.978548</v>
      </c>
      <c r="G909" s="4">
        <v>2342700</v>
      </c>
      <c r="H909">
        <f t="shared" si="14"/>
        <v>-2.6263967822191328E-3</v>
      </c>
    </row>
    <row r="910" spans="1:8" x14ac:dyDescent="0.3">
      <c r="A910" s="1">
        <v>43322</v>
      </c>
      <c r="B910" s="2">
        <v>15.18</v>
      </c>
      <c r="C910" s="2">
        <v>15.6</v>
      </c>
      <c r="D910" s="2">
        <v>15.1</v>
      </c>
      <c r="E910" s="2">
        <v>15.32</v>
      </c>
      <c r="F910" s="3">
        <v>14.079642</v>
      </c>
      <c r="G910" s="4">
        <v>2416400</v>
      </c>
      <c r="H910">
        <f t="shared" si="14"/>
        <v>7.2060580412436435E-3</v>
      </c>
    </row>
    <row r="911" spans="1:8" x14ac:dyDescent="0.3">
      <c r="A911" s="1">
        <v>43325</v>
      </c>
      <c r="B911" s="2">
        <v>15.35</v>
      </c>
      <c r="C911" s="2">
        <v>15.38</v>
      </c>
      <c r="D911" s="2">
        <v>15.11</v>
      </c>
      <c r="E911" s="2">
        <v>15.21</v>
      </c>
      <c r="F911" s="3">
        <v>13.978548</v>
      </c>
      <c r="G911" s="4">
        <v>2100900</v>
      </c>
      <c r="H911">
        <f t="shared" si="14"/>
        <v>-7.2060580412437623E-3</v>
      </c>
    </row>
    <row r="912" spans="1:8" x14ac:dyDescent="0.3">
      <c r="A912" s="1">
        <v>43326</v>
      </c>
      <c r="B912" s="2">
        <v>15.27</v>
      </c>
      <c r="C912" s="2">
        <v>15.57</v>
      </c>
      <c r="D912" s="2">
        <v>15.2</v>
      </c>
      <c r="E912" s="2">
        <v>15.5</v>
      </c>
      <c r="F912" s="3">
        <v>14.24507</v>
      </c>
      <c r="G912" s="4">
        <v>1953400</v>
      </c>
      <c r="H912">
        <f t="shared" si="14"/>
        <v>1.8886917653999399E-2</v>
      </c>
    </row>
    <row r="913" spans="1:8" x14ac:dyDescent="0.3">
      <c r="A913" s="1">
        <v>43327</v>
      </c>
      <c r="B913" s="2">
        <v>15.46</v>
      </c>
      <c r="C913" s="2">
        <v>15.5</v>
      </c>
      <c r="D913" s="2">
        <v>15.19</v>
      </c>
      <c r="E913" s="2">
        <v>15.42</v>
      </c>
      <c r="F913" s="3">
        <v>14.171547</v>
      </c>
      <c r="G913" s="4">
        <v>2097600</v>
      </c>
      <c r="H913">
        <f t="shared" si="14"/>
        <v>-5.1746557900174744E-3</v>
      </c>
    </row>
    <row r="914" spans="1:8" x14ac:dyDescent="0.3">
      <c r="A914" s="1">
        <v>43328</v>
      </c>
      <c r="B914" s="2">
        <v>15.54</v>
      </c>
      <c r="C914" s="2">
        <v>15.56</v>
      </c>
      <c r="D914" s="2">
        <v>15.22</v>
      </c>
      <c r="E914" s="2">
        <v>15.22</v>
      </c>
      <c r="F914" s="3">
        <v>13.987738999999999</v>
      </c>
      <c r="G914" s="4">
        <v>1719700</v>
      </c>
      <c r="H914">
        <f t="shared" si="14"/>
        <v>-1.3055015701643607E-2</v>
      </c>
    </row>
    <row r="915" spans="1:8" x14ac:dyDescent="0.3">
      <c r="A915" s="1">
        <v>43329</v>
      </c>
      <c r="B915" s="2">
        <v>15.17</v>
      </c>
      <c r="C915" s="2">
        <v>15.35</v>
      </c>
      <c r="D915" s="2">
        <v>14.99</v>
      </c>
      <c r="E915" s="2">
        <v>15.33</v>
      </c>
      <c r="F915" s="3">
        <v>14.088832999999999</v>
      </c>
      <c r="G915" s="4">
        <v>1633300</v>
      </c>
      <c r="H915">
        <f t="shared" si="14"/>
        <v>7.2013404501828464E-3</v>
      </c>
    </row>
    <row r="916" spans="1:8" x14ac:dyDescent="0.3">
      <c r="A916" s="1">
        <v>43332</v>
      </c>
      <c r="B916" s="2">
        <v>15.4</v>
      </c>
      <c r="C916" s="2">
        <v>15.98</v>
      </c>
      <c r="D916" s="2">
        <v>15.35</v>
      </c>
      <c r="E916" s="2">
        <v>15.85</v>
      </c>
      <c r="F916" s="3">
        <v>14.566732</v>
      </c>
      <c r="G916" s="4">
        <v>3606900</v>
      </c>
      <c r="H916">
        <f t="shared" si="14"/>
        <v>3.3357807439566858E-2</v>
      </c>
    </row>
    <row r="917" spans="1:8" x14ac:dyDescent="0.3">
      <c r="A917" s="1">
        <v>43333</v>
      </c>
      <c r="B917" s="2">
        <v>16</v>
      </c>
      <c r="C917" s="2">
        <v>16.57</v>
      </c>
      <c r="D917" s="2">
        <v>15.83</v>
      </c>
      <c r="E917" s="2">
        <v>16.489999999999998</v>
      </c>
      <c r="F917" s="3">
        <v>15.154916</v>
      </c>
      <c r="G917" s="4">
        <v>5193200</v>
      </c>
      <c r="H917">
        <f t="shared" si="14"/>
        <v>3.9584636248217842E-2</v>
      </c>
    </row>
    <row r="918" spans="1:8" x14ac:dyDescent="0.3">
      <c r="A918" s="1">
        <v>43334</v>
      </c>
      <c r="B918" s="2">
        <v>16.540001</v>
      </c>
      <c r="C918" s="2">
        <v>17.27</v>
      </c>
      <c r="D918" s="2">
        <v>16.510000000000002</v>
      </c>
      <c r="E918" s="2">
        <v>16.98</v>
      </c>
      <c r="F918" s="3">
        <v>15.605245</v>
      </c>
      <c r="G918" s="4">
        <v>6605600</v>
      </c>
      <c r="H918">
        <f t="shared" si="14"/>
        <v>2.9282044311693838E-2</v>
      </c>
    </row>
    <row r="919" spans="1:8" x14ac:dyDescent="0.3">
      <c r="A919" s="1">
        <v>43335</v>
      </c>
      <c r="B919" s="2">
        <v>16.98</v>
      </c>
      <c r="C919" s="2">
        <v>17.209999</v>
      </c>
      <c r="D919" s="2">
        <v>16.620000999999998</v>
      </c>
      <c r="E919" s="2">
        <v>16.760000000000002</v>
      </c>
      <c r="F919" s="3">
        <v>15.403055999999999</v>
      </c>
      <c r="G919" s="4">
        <v>3583500</v>
      </c>
      <c r="H919">
        <f t="shared" si="14"/>
        <v>-1.3041085829264257E-2</v>
      </c>
    </row>
    <row r="920" spans="1:8" x14ac:dyDescent="0.3">
      <c r="A920" s="1">
        <v>43336</v>
      </c>
      <c r="B920" s="2">
        <v>16.760000000000002</v>
      </c>
      <c r="C920" s="2">
        <v>16.84</v>
      </c>
      <c r="D920" s="2">
        <v>16.200001</v>
      </c>
      <c r="E920" s="2">
        <v>16.549999</v>
      </c>
      <c r="F920" s="3">
        <v>15.210057000000001</v>
      </c>
      <c r="G920" s="4">
        <v>4525600</v>
      </c>
      <c r="H920">
        <f t="shared" si="14"/>
        <v>-1.260905365382776E-2</v>
      </c>
    </row>
    <row r="921" spans="1:8" x14ac:dyDescent="0.3">
      <c r="A921" s="1">
        <v>43339</v>
      </c>
      <c r="B921" s="2">
        <v>16.469999000000001</v>
      </c>
      <c r="C921" s="2">
        <v>16.5</v>
      </c>
      <c r="D921" s="2">
        <v>14.55</v>
      </c>
      <c r="E921" s="2">
        <v>14.71</v>
      </c>
      <c r="F921" s="3">
        <v>13.519030000000001</v>
      </c>
      <c r="G921" s="4">
        <v>14694900</v>
      </c>
      <c r="H921">
        <f t="shared" si="14"/>
        <v>-0.11785850678676314</v>
      </c>
    </row>
    <row r="922" spans="1:8" x14ac:dyDescent="0.3">
      <c r="A922" s="1">
        <v>43340</v>
      </c>
      <c r="B922" s="2">
        <v>14.71</v>
      </c>
      <c r="C922" s="2">
        <v>14.75</v>
      </c>
      <c r="D922" s="2">
        <v>14</v>
      </c>
      <c r="E922" s="2">
        <v>14.03</v>
      </c>
      <c r="F922" s="3">
        <v>12.894085</v>
      </c>
      <c r="G922" s="4">
        <v>6822000</v>
      </c>
      <c r="H922">
        <f t="shared" si="14"/>
        <v>-4.7329640498976693E-2</v>
      </c>
    </row>
    <row r="923" spans="1:8" x14ac:dyDescent="0.3">
      <c r="A923" s="1">
        <v>43341</v>
      </c>
      <c r="B923" s="2">
        <v>14.14</v>
      </c>
      <c r="C923" s="2">
        <v>14.3</v>
      </c>
      <c r="D923" s="2">
        <v>13.75</v>
      </c>
      <c r="E923" s="2">
        <v>14.12</v>
      </c>
      <c r="F923" s="3">
        <v>12.976798</v>
      </c>
      <c r="G923" s="4">
        <v>4099600</v>
      </c>
      <c r="H923">
        <f t="shared" si="14"/>
        <v>6.39433795072654E-3</v>
      </c>
    </row>
    <row r="924" spans="1:8" x14ac:dyDescent="0.3">
      <c r="A924" s="1">
        <v>43342</v>
      </c>
      <c r="B924" s="2">
        <v>13.99</v>
      </c>
      <c r="C924" s="2">
        <v>13.99</v>
      </c>
      <c r="D924" s="2">
        <v>13.52</v>
      </c>
      <c r="E924" s="2">
        <v>13.58</v>
      </c>
      <c r="F924" s="3">
        <v>12.480518999999999</v>
      </c>
      <c r="G924" s="4">
        <v>3933400</v>
      </c>
      <c r="H924">
        <f t="shared" si="14"/>
        <v>-3.8994109934545898E-2</v>
      </c>
    </row>
    <row r="925" spans="1:8" x14ac:dyDescent="0.3">
      <c r="A925" s="1">
        <v>43343</v>
      </c>
      <c r="B925" s="2">
        <v>13.61</v>
      </c>
      <c r="C925" s="2">
        <v>13.63</v>
      </c>
      <c r="D925" s="2">
        <v>13.18</v>
      </c>
      <c r="E925" s="2">
        <v>13.27</v>
      </c>
      <c r="F925" s="3">
        <v>12.195618</v>
      </c>
      <c r="G925" s="4">
        <v>3724000</v>
      </c>
      <c r="H925">
        <f t="shared" si="14"/>
        <v>-2.309227378643396E-2</v>
      </c>
    </row>
    <row r="926" spans="1:8" x14ac:dyDescent="0.3">
      <c r="A926" s="1">
        <v>43347</v>
      </c>
      <c r="B926" s="2">
        <v>13.17</v>
      </c>
      <c r="C926" s="2">
        <v>14.1</v>
      </c>
      <c r="D926" s="2">
        <v>13.08</v>
      </c>
      <c r="E926" s="2">
        <v>14.05</v>
      </c>
      <c r="F926" s="3">
        <v>12.912466</v>
      </c>
      <c r="G926" s="4">
        <v>5936000</v>
      </c>
      <c r="H926">
        <f t="shared" si="14"/>
        <v>5.7116547435638744E-2</v>
      </c>
    </row>
    <row r="927" spans="1:8" x14ac:dyDescent="0.3">
      <c r="A927" s="1">
        <v>43348</v>
      </c>
      <c r="B927" s="2">
        <v>13.97</v>
      </c>
      <c r="C927" s="2">
        <v>16.530000999999999</v>
      </c>
      <c r="D927" s="2">
        <v>13.96</v>
      </c>
      <c r="E927" s="2">
        <v>16.260000000000002</v>
      </c>
      <c r="F927" s="3">
        <v>14.943538</v>
      </c>
      <c r="G927" s="4">
        <v>17471600</v>
      </c>
      <c r="H927">
        <f t="shared" si="14"/>
        <v>0.14608570833990983</v>
      </c>
    </row>
    <row r="928" spans="1:8" x14ac:dyDescent="0.3">
      <c r="A928" s="1">
        <v>43349</v>
      </c>
      <c r="B928" s="2">
        <v>16.149999999999999</v>
      </c>
      <c r="C928" s="2">
        <v>16.25</v>
      </c>
      <c r="D928" s="2">
        <v>15.08</v>
      </c>
      <c r="E928" s="2">
        <v>16.139999</v>
      </c>
      <c r="F928" s="3">
        <v>14.833252</v>
      </c>
      <c r="G928" s="4">
        <v>6777200</v>
      </c>
      <c r="H928">
        <f t="shared" si="14"/>
        <v>-7.4075032357325248E-3</v>
      </c>
    </row>
    <row r="929" spans="1:8" x14ac:dyDescent="0.3">
      <c r="A929" s="1">
        <v>43350</v>
      </c>
      <c r="B929" s="2">
        <v>15.25</v>
      </c>
      <c r="C929" s="2">
        <v>16.379999000000002</v>
      </c>
      <c r="D929" s="2">
        <v>14.76</v>
      </c>
      <c r="E929" s="2">
        <v>16.129999000000002</v>
      </c>
      <c r="F929" s="3">
        <v>14.824061</v>
      </c>
      <c r="G929" s="4">
        <v>6795600</v>
      </c>
      <c r="H929">
        <f t="shared" si="14"/>
        <v>-6.1977074309669134E-4</v>
      </c>
    </row>
    <row r="930" spans="1:8" x14ac:dyDescent="0.3">
      <c r="A930" s="1">
        <v>43353</v>
      </c>
      <c r="B930" s="2">
        <v>16.16</v>
      </c>
      <c r="C930" s="2">
        <v>16.350000000000001</v>
      </c>
      <c r="D930" s="2">
        <v>15.87</v>
      </c>
      <c r="E930" s="2">
        <v>16</v>
      </c>
      <c r="F930" s="3">
        <v>14.704587999999999</v>
      </c>
      <c r="G930" s="4">
        <v>2727700</v>
      </c>
      <c r="H930">
        <f t="shared" si="14"/>
        <v>-8.0921079010542029E-3</v>
      </c>
    </row>
    <row r="931" spans="1:8" x14ac:dyDescent="0.3">
      <c r="A931" s="1">
        <v>43354</v>
      </c>
      <c r="B931" s="2">
        <v>16</v>
      </c>
      <c r="C931" s="2">
        <v>16.600000000000001</v>
      </c>
      <c r="D931" s="2">
        <v>16</v>
      </c>
      <c r="E931" s="2">
        <v>16.16</v>
      </c>
      <c r="F931" s="3">
        <v>14.851634000000001</v>
      </c>
      <c r="G931" s="4">
        <v>2791000</v>
      </c>
      <c r="H931">
        <f t="shared" si="14"/>
        <v>9.950330853168092E-3</v>
      </c>
    </row>
    <row r="932" spans="1:8" x14ac:dyDescent="0.3">
      <c r="A932" s="1">
        <v>43355</v>
      </c>
      <c r="B932" s="2">
        <v>16.170000000000002</v>
      </c>
      <c r="C932" s="2">
        <v>16.760000000000002</v>
      </c>
      <c r="D932" s="2">
        <v>16.170000000000002</v>
      </c>
      <c r="E932" s="2">
        <v>16.66</v>
      </c>
      <c r="F932" s="3">
        <v>15.311152</v>
      </c>
      <c r="G932" s="4">
        <v>3395800</v>
      </c>
      <c r="H932">
        <f t="shared" si="14"/>
        <v>3.047158364574723E-2</v>
      </c>
    </row>
    <row r="933" spans="1:8" x14ac:dyDescent="0.3">
      <c r="A933" s="1">
        <v>43356</v>
      </c>
      <c r="B933" s="2">
        <v>16.709999</v>
      </c>
      <c r="C933" s="2">
        <v>17.040001</v>
      </c>
      <c r="D933" s="2">
        <v>16.610001</v>
      </c>
      <c r="E933" s="2">
        <v>17.040001</v>
      </c>
      <c r="F933" s="3">
        <v>15.660386000000001</v>
      </c>
      <c r="G933" s="4">
        <v>3689500</v>
      </c>
      <c r="H933">
        <f t="shared" si="14"/>
        <v>2.2552943347917343E-2</v>
      </c>
    </row>
    <row r="934" spans="1:8" x14ac:dyDescent="0.3">
      <c r="A934" s="1">
        <v>43357</v>
      </c>
      <c r="B934" s="2">
        <v>16.969999000000001</v>
      </c>
      <c r="C934" s="2">
        <v>17</v>
      </c>
      <c r="D934" s="2">
        <v>16.469999000000001</v>
      </c>
      <c r="E934" s="2">
        <v>16.790001</v>
      </c>
      <c r="F934" s="3">
        <v>15.430628</v>
      </c>
      <c r="G934" s="4">
        <v>3005400</v>
      </c>
      <c r="H934">
        <f t="shared" si="14"/>
        <v>-1.4780049437904848E-2</v>
      </c>
    </row>
    <row r="935" spans="1:8" x14ac:dyDescent="0.3">
      <c r="A935" s="1">
        <v>43360</v>
      </c>
      <c r="B935" s="2">
        <v>16.709999</v>
      </c>
      <c r="C935" s="2">
        <v>16.860001</v>
      </c>
      <c r="D935" s="2">
        <v>16.5</v>
      </c>
      <c r="E935" s="2">
        <v>16.610001</v>
      </c>
      <c r="F935" s="3">
        <v>15.618690000000001</v>
      </c>
      <c r="G935" s="4">
        <v>2232000</v>
      </c>
      <c r="H935">
        <f t="shared" si="14"/>
        <v>-1.077854681881146E-2</v>
      </c>
    </row>
    <row r="936" spans="1:8" x14ac:dyDescent="0.3">
      <c r="A936" s="1">
        <v>43361</v>
      </c>
      <c r="B936" s="2">
        <v>16.420000000000002</v>
      </c>
      <c r="C936" s="2">
        <v>16.68</v>
      </c>
      <c r="D936" s="2">
        <v>16.350000000000001</v>
      </c>
      <c r="E936" s="2">
        <v>16.5</v>
      </c>
      <c r="F936" s="3">
        <v>15.515255</v>
      </c>
      <c r="G936" s="4">
        <v>1786800</v>
      </c>
      <c r="H936">
        <f t="shared" si="14"/>
        <v>-6.6446029233627156E-3</v>
      </c>
    </row>
    <row r="937" spans="1:8" x14ac:dyDescent="0.3">
      <c r="A937" s="1">
        <v>43362</v>
      </c>
      <c r="B937" s="2">
        <v>16.5</v>
      </c>
      <c r="C937" s="2">
        <v>16.799999</v>
      </c>
      <c r="D937" s="2">
        <v>16.450001</v>
      </c>
      <c r="E937" s="2">
        <v>16.600000000000001</v>
      </c>
      <c r="F937" s="3">
        <v>15.609287999999999</v>
      </c>
      <c r="G937" s="4">
        <v>1798200</v>
      </c>
      <c r="H937">
        <f t="shared" si="14"/>
        <v>6.0423144559626617E-3</v>
      </c>
    </row>
    <row r="938" spans="1:8" x14ac:dyDescent="0.3">
      <c r="A938" s="1">
        <v>43363</v>
      </c>
      <c r="B938" s="2">
        <v>16.600000000000001</v>
      </c>
      <c r="C938" s="2">
        <v>16.809999000000001</v>
      </c>
      <c r="D938" s="2">
        <v>16.450001</v>
      </c>
      <c r="E938" s="2">
        <v>16.489999999999998</v>
      </c>
      <c r="F938" s="3">
        <v>15.505853</v>
      </c>
      <c r="G938" s="4">
        <v>1604100</v>
      </c>
      <c r="H938">
        <f t="shared" si="14"/>
        <v>-6.6485587909901646E-3</v>
      </c>
    </row>
    <row r="939" spans="1:8" x14ac:dyDescent="0.3">
      <c r="A939" s="1">
        <v>43364</v>
      </c>
      <c r="B939" s="2">
        <v>16.450001</v>
      </c>
      <c r="C939" s="2">
        <v>16.75</v>
      </c>
      <c r="D939" s="2">
        <v>16.43</v>
      </c>
      <c r="E939" s="2">
        <v>16.52</v>
      </c>
      <c r="F939" s="3">
        <v>15.534062</v>
      </c>
      <c r="G939" s="4">
        <v>3040900</v>
      </c>
      <c r="H939">
        <f t="shared" si="14"/>
        <v>1.8176315213244657E-3</v>
      </c>
    </row>
    <row r="940" spans="1:8" x14ac:dyDescent="0.3">
      <c r="A940" s="1">
        <v>43367</v>
      </c>
      <c r="B940" s="2">
        <v>16.420000000000002</v>
      </c>
      <c r="C940" s="2">
        <v>16.420000000000002</v>
      </c>
      <c r="D940" s="2">
        <v>15.49</v>
      </c>
      <c r="E940" s="2">
        <v>15.52</v>
      </c>
      <c r="F940" s="3">
        <v>14.593743999999999</v>
      </c>
      <c r="G940" s="4">
        <v>3577700</v>
      </c>
      <c r="H940">
        <f t="shared" si="14"/>
        <v>-6.2442253337759275E-2</v>
      </c>
    </row>
    <row r="941" spans="1:8" x14ac:dyDescent="0.3">
      <c r="A941" s="1">
        <v>43368</v>
      </c>
      <c r="B941" s="2">
        <v>15.64</v>
      </c>
      <c r="C941" s="2">
        <v>16.09</v>
      </c>
      <c r="D941" s="2">
        <v>15.3</v>
      </c>
      <c r="E941" s="2">
        <v>16.02</v>
      </c>
      <c r="F941" s="3">
        <v>15.063903</v>
      </c>
      <c r="G941" s="4">
        <v>2062500</v>
      </c>
      <c r="H941">
        <f t="shared" si="14"/>
        <v>3.1708426885140577E-2</v>
      </c>
    </row>
    <row r="942" spans="1:8" x14ac:dyDescent="0.3">
      <c r="A942" s="1">
        <v>43369</v>
      </c>
      <c r="B942" s="2">
        <v>16.139999</v>
      </c>
      <c r="C942" s="2">
        <v>16.139999</v>
      </c>
      <c r="D942" s="2">
        <v>15.54</v>
      </c>
      <c r="E942" s="2">
        <v>15.59</v>
      </c>
      <c r="F942" s="3">
        <v>14.659566</v>
      </c>
      <c r="G942" s="4">
        <v>1901300</v>
      </c>
      <c r="H942">
        <f t="shared" si="14"/>
        <v>-2.7208258570527964E-2</v>
      </c>
    </row>
    <row r="943" spans="1:8" x14ac:dyDescent="0.3">
      <c r="A943" s="1">
        <v>43370</v>
      </c>
      <c r="B943" s="2">
        <v>15.68</v>
      </c>
      <c r="C943" s="2">
        <v>15.75</v>
      </c>
      <c r="D943" s="2">
        <v>15.43</v>
      </c>
      <c r="E943" s="2">
        <v>15.55</v>
      </c>
      <c r="F943" s="3">
        <v>14.621953</v>
      </c>
      <c r="G943" s="4">
        <v>2024200</v>
      </c>
      <c r="H943">
        <f t="shared" si="14"/>
        <v>-2.5690444444419597E-3</v>
      </c>
    </row>
    <row r="944" spans="1:8" x14ac:dyDescent="0.3">
      <c r="A944" s="1">
        <v>43371</v>
      </c>
      <c r="B944" s="2">
        <v>15.54</v>
      </c>
      <c r="C944" s="2">
        <v>15.85</v>
      </c>
      <c r="D944" s="2">
        <v>15.19</v>
      </c>
      <c r="E944" s="2">
        <v>15.27</v>
      </c>
      <c r="F944" s="3">
        <v>14.358665</v>
      </c>
      <c r="G944" s="4">
        <v>2525800</v>
      </c>
      <c r="H944">
        <f t="shared" si="14"/>
        <v>-1.8170519394702093E-2</v>
      </c>
    </row>
    <row r="945" spans="1:8" x14ac:dyDescent="0.3">
      <c r="A945" s="1">
        <v>43374</v>
      </c>
      <c r="B945" s="2">
        <v>15.28</v>
      </c>
      <c r="C945" s="2">
        <v>15.54</v>
      </c>
      <c r="D945" s="2">
        <v>14.98</v>
      </c>
      <c r="E945" s="2">
        <v>15.28</v>
      </c>
      <c r="F945" s="3">
        <v>14.368067</v>
      </c>
      <c r="G945" s="4">
        <v>4059800</v>
      </c>
      <c r="H945">
        <f t="shared" si="14"/>
        <v>6.5466450783335892E-4</v>
      </c>
    </row>
    <row r="946" spans="1:8" x14ac:dyDescent="0.3">
      <c r="A946" s="1">
        <v>43375</v>
      </c>
      <c r="B946" s="2">
        <v>15.17</v>
      </c>
      <c r="C946" s="2">
        <v>15.31</v>
      </c>
      <c r="D946" s="2">
        <v>14.84</v>
      </c>
      <c r="E946" s="2">
        <v>14.87</v>
      </c>
      <c r="F946" s="3">
        <v>13.982536</v>
      </c>
      <c r="G946" s="4">
        <v>2878200</v>
      </c>
      <c r="H946">
        <f t="shared" si="14"/>
        <v>-2.7199023266310723E-2</v>
      </c>
    </row>
    <row r="947" spans="1:8" x14ac:dyDescent="0.3">
      <c r="A947" s="1">
        <v>43376</v>
      </c>
      <c r="B947" s="2">
        <v>15</v>
      </c>
      <c r="C947" s="2">
        <v>15.17</v>
      </c>
      <c r="D947" s="2">
        <v>14.75</v>
      </c>
      <c r="E947" s="2">
        <v>14.92</v>
      </c>
      <c r="F947" s="3">
        <v>14.029552000000001</v>
      </c>
      <c r="G947" s="4">
        <v>2013600</v>
      </c>
      <c r="H947">
        <f t="shared" si="14"/>
        <v>3.3568343035510874E-3</v>
      </c>
    </row>
    <row r="948" spans="1:8" x14ac:dyDescent="0.3">
      <c r="A948" s="1">
        <v>43377</v>
      </c>
      <c r="B948" s="2">
        <v>14.97</v>
      </c>
      <c r="C948" s="2">
        <v>15.12</v>
      </c>
      <c r="D948" s="2">
        <v>14.72</v>
      </c>
      <c r="E948" s="2">
        <v>14.82</v>
      </c>
      <c r="F948" s="3">
        <v>13.93552</v>
      </c>
      <c r="G948" s="4">
        <v>1521600</v>
      </c>
      <c r="H948">
        <f t="shared" si="14"/>
        <v>-6.724974907673968E-3</v>
      </c>
    </row>
    <row r="949" spans="1:8" x14ac:dyDescent="0.3">
      <c r="A949" s="1">
        <v>43378</v>
      </c>
      <c r="B949" s="2">
        <v>14.83</v>
      </c>
      <c r="C949" s="2">
        <v>14.93</v>
      </c>
      <c r="D949" s="2">
        <v>14.58</v>
      </c>
      <c r="E949" s="2">
        <v>14.68</v>
      </c>
      <c r="F949" s="3">
        <v>13.803877</v>
      </c>
      <c r="G949" s="4">
        <v>2323700</v>
      </c>
      <c r="H949">
        <f t="shared" si="14"/>
        <v>-9.4915966815713963E-3</v>
      </c>
    </row>
    <row r="950" spans="1:8" x14ac:dyDescent="0.3">
      <c r="A950" s="1">
        <v>43381</v>
      </c>
      <c r="B950" s="2">
        <v>14.71</v>
      </c>
      <c r="C950" s="2">
        <v>15.19</v>
      </c>
      <c r="D950" s="2">
        <v>14.66</v>
      </c>
      <c r="E950" s="2">
        <v>14.98</v>
      </c>
      <c r="F950" s="3">
        <v>14.085972</v>
      </c>
      <c r="G950" s="4">
        <v>2260100</v>
      </c>
      <c r="H950">
        <f t="shared" si="14"/>
        <v>2.022995490270392E-2</v>
      </c>
    </row>
    <row r="951" spans="1:8" x14ac:dyDescent="0.3">
      <c r="A951" s="1">
        <v>43382</v>
      </c>
      <c r="B951" s="2">
        <v>14.93</v>
      </c>
      <c r="C951" s="2">
        <v>15.45</v>
      </c>
      <c r="D951" s="2">
        <v>14.7</v>
      </c>
      <c r="E951" s="2">
        <v>14.76</v>
      </c>
      <c r="F951" s="3">
        <v>13.879102</v>
      </c>
      <c r="G951" s="4">
        <v>2405700</v>
      </c>
      <c r="H951">
        <f t="shared" si="14"/>
        <v>-1.4795158916747049E-2</v>
      </c>
    </row>
    <row r="952" spans="1:8" x14ac:dyDescent="0.3">
      <c r="A952" s="1">
        <v>43383</v>
      </c>
      <c r="B952" s="2">
        <v>14.81</v>
      </c>
      <c r="C952" s="2">
        <v>15.17</v>
      </c>
      <c r="D952" s="2">
        <v>14.81</v>
      </c>
      <c r="E952" s="2">
        <v>14.83</v>
      </c>
      <c r="F952" s="3">
        <v>13.944924</v>
      </c>
      <c r="G952" s="4">
        <v>1962600</v>
      </c>
      <c r="H952">
        <f t="shared" si="14"/>
        <v>4.731336977514343E-3</v>
      </c>
    </row>
    <row r="953" spans="1:8" x14ac:dyDescent="0.3">
      <c r="A953" s="1">
        <v>43384</v>
      </c>
      <c r="B953" s="2">
        <v>14.79</v>
      </c>
      <c r="C953" s="2">
        <v>15.1</v>
      </c>
      <c r="D953" s="2">
        <v>14.65</v>
      </c>
      <c r="E953" s="2">
        <v>14.66</v>
      </c>
      <c r="F953" s="3">
        <v>13.785069</v>
      </c>
      <c r="G953" s="4">
        <v>2096000</v>
      </c>
      <c r="H953">
        <f t="shared" si="14"/>
        <v>-1.1529459691335273E-2</v>
      </c>
    </row>
    <row r="954" spans="1:8" x14ac:dyDescent="0.3">
      <c r="A954" s="1">
        <v>43385</v>
      </c>
      <c r="B954" s="2">
        <v>14.9</v>
      </c>
      <c r="C954" s="2">
        <v>15.15</v>
      </c>
      <c r="D954" s="2">
        <v>14.7</v>
      </c>
      <c r="E954" s="2">
        <v>14.8</v>
      </c>
      <c r="F954" s="3">
        <v>13.916715</v>
      </c>
      <c r="G954" s="4">
        <v>1927600</v>
      </c>
      <c r="H954">
        <f t="shared" si="14"/>
        <v>9.50448431156398E-3</v>
      </c>
    </row>
    <row r="955" spans="1:8" x14ac:dyDescent="0.3">
      <c r="A955" s="1">
        <v>43388</v>
      </c>
      <c r="B955" s="2">
        <v>14.81</v>
      </c>
      <c r="C955" s="2">
        <v>15.07</v>
      </c>
      <c r="D955" s="2">
        <v>14.78</v>
      </c>
      <c r="E955" s="2">
        <v>14.88</v>
      </c>
      <c r="F955" s="3">
        <v>13.99194</v>
      </c>
      <c r="G955" s="4">
        <v>1500100</v>
      </c>
      <c r="H955">
        <f t="shared" si="14"/>
        <v>5.390848634876373E-3</v>
      </c>
    </row>
    <row r="956" spans="1:8" x14ac:dyDescent="0.3">
      <c r="A956" s="1">
        <v>43389</v>
      </c>
      <c r="B956" s="2">
        <v>14.97</v>
      </c>
      <c r="C956" s="2">
        <v>15.3</v>
      </c>
      <c r="D956" s="2">
        <v>14.78</v>
      </c>
      <c r="E956" s="2">
        <v>15.29</v>
      </c>
      <c r="F956" s="3">
        <v>14.377470000000001</v>
      </c>
      <c r="G956" s="4">
        <v>2040200</v>
      </c>
      <c r="H956">
        <f t="shared" si="14"/>
        <v>2.7180990536024942E-2</v>
      </c>
    </row>
    <row r="957" spans="1:8" x14ac:dyDescent="0.3">
      <c r="A957" s="1">
        <v>43390</v>
      </c>
      <c r="B957" s="2">
        <v>15.29</v>
      </c>
      <c r="C957" s="2">
        <v>15.48</v>
      </c>
      <c r="D957" s="2">
        <v>14.78</v>
      </c>
      <c r="E957" s="2">
        <v>15.32</v>
      </c>
      <c r="F957" s="3">
        <v>14.405678999999999</v>
      </c>
      <c r="G957" s="4">
        <v>1997900</v>
      </c>
      <c r="H957">
        <f t="shared" si="14"/>
        <v>1.960144371474376E-3</v>
      </c>
    </row>
    <row r="958" spans="1:8" x14ac:dyDescent="0.3">
      <c r="A958" s="1">
        <v>43391</v>
      </c>
      <c r="B958" s="2">
        <v>15.3</v>
      </c>
      <c r="C958" s="2">
        <v>15.42</v>
      </c>
      <c r="D958" s="2">
        <v>14.9</v>
      </c>
      <c r="E958" s="2">
        <v>15.06</v>
      </c>
      <c r="F958" s="3">
        <v>14.161197</v>
      </c>
      <c r="G958" s="4">
        <v>1478600</v>
      </c>
      <c r="H958">
        <f t="shared" si="14"/>
        <v>-1.7116941940697752E-2</v>
      </c>
    </row>
    <row r="959" spans="1:8" x14ac:dyDescent="0.3">
      <c r="A959" s="1">
        <v>43392</v>
      </c>
      <c r="B959" s="2">
        <v>14.87</v>
      </c>
      <c r="C959" s="2">
        <v>15</v>
      </c>
      <c r="D959" s="2">
        <v>14.47</v>
      </c>
      <c r="E959" s="2">
        <v>14.73</v>
      </c>
      <c r="F959" s="3">
        <v>13.850891000000001</v>
      </c>
      <c r="G959" s="4">
        <v>3106000</v>
      </c>
      <c r="H959">
        <f t="shared" si="14"/>
        <v>-2.2155991897208595E-2</v>
      </c>
    </row>
    <row r="960" spans="1:8" x14ac:dyDescent="0.3">
      <c r="A960" s="1">
        <v>43395</v>
      </c>
      <c r="B960" s="2">
        <v>14.82</v>
      </c>
      <c r="C960" s="2">
        <v>15.22</v>
      </c>
      <c r="D960" s="2">
        <v>14.69</v>
      </c>
      <c r="E960" s="2">
        <v>15.12</v>
      </c>
      <c r="F960" s="3">
        <v>14.217616</v>
      </c>
      <c r="G960" s="4">
        <v>2305500</v>
      </c>
      <c r="H960">
        <f t="shared" si="14"/>
        <v>2.6132140276847907E-2</v>
      </c>
    </row>
    <row r="961" spans="1:8" x14ac:dyDescent="0.3">
      <c r="A961" s="1">
        <v>43396</v>
      </c>
      <c r="B961" s="2">
        <v>14.99</v>
      </c>
      <c r="C961" s="2">
        <v>15.31</v>
      </c>
      <c r="D961" s="2">
        <v>14.79</v>
      </c>
      <c r="E961" s="2">
        <v>15.27</v>
      </c>
      <c r="F961" s="3">
        <v>14.358665</v>
      </c>
      <c r="G961" s="4">
        <v>2395100</v>
      </c>
      <c r="H961">
        <f t="shared" si="14"/>
        <v>9.871748479154091E-3</v>
      </c>
    </row>
    <row r="962" spans="1:8" x14ac:dyDescent="0.3">
      <c r="A962" s="1">
        <v>43397</v>
      </c>
      <c r="B962" s="2">
        <v>15.3</v>
      </c>
      <c r="C962" s="2">
        <v>15.6</v>
      </c>
      <c r="D962" s="2">
        <v>15.07</v>
      </c>
      <c r="E962" s="2">
        <v>15.07</v>
      </c>
      <c r="F962" s="3">
        <v>14.1706</v>
      </c>
      <c r="G962" s="4">
        <v>2241300</v>
      </c>
      <c r="H962">
        <f t="shared" si="14"/>
        <v>-1.3184106592136926E-2</v>
      </c>
    </row>
    <row r="963" spans="1:8" x14ac:dyDescent="0.3">
      <c r="A963" s="1">
        <v>43398</v>
      </c>
      <c r="B963" s="2">
        <v>15.12</v>
      </c>
      <c r="C963" s="2">
        <v>15.2</v>
      </c>
      <c r="D963" s="2">
        <v>14.28</v>
      </c>
      <c r="E963" s="2">
        <v>14.44</v>
      </c>
      <c r="F963" s="3">
        <v>13.578198</v>
      </c>
      <c r="G963" s="4">
        <v>2274100</v>
      </c>
      <c r="H963">
        <f t="shared" si="14"/>
        <v>-4.2703879173723938E-2</v>
      </c>
    </row>
    <row r="964" spans="1:8" x14ac:dyDescent="0.3">
      <c r="A964" s="1">
        <v>43399</v>
      </c>
      <c r="B964" s="2">
        <v>14.43</v>
      </c>
      <c r="C964" s="2">
        <v>14.43</v>
      </c>
      <c r="D964" s="2">
        <v>13.64</v>
      </c>
      <c r="E964" s="2">
        <v>13.71</v>
      </c>
      <c r="F964" s="3">
        <v>12.891767</v>
      </c>
      <c r="G964" s="4">
        <v>2511100</v>
      </c>
      <c r="H964">
        <f t="shared" ref="H964:H1027" si="15">LN(E964/E963)</f>
        <v>-5.1876639890457051E-2</v>
      </c>
    </row>
    <row r="965" spans="1:8" x14ac:dyDescent="0.3">
      <c r="A965" s="1">
        <v>43402</v>
      </c>
      <c r="B965" s="2">
        <v>13.84</v>
      </c>
      <c r="C965" s="2">
        <v>14.96</v>
      </c>
      <c r="D965" s="2">
        <v>13.77</v>
      </c>
      <c r="E965" s="2">
        <v>14.53</v>
      </c>
      <c r="F965" s="3">
        <v>13.662827999999999</v>
      </c>
      <c r="G965" s="4">
        <v>3168900</v>
      </c>
      <c r="H965">
        <f t="shared" si="15"/>
        <v>5.8089984007968359E-2</v>
      </c>
    </row>
    <row r="966" spans="1:8" x14ac:dyDescent="0.3">
      <c r="A966" s="1">
        <v>43403</v>
      </c>
      <c r="B966" s="2">
        <v>14.57</v>
      </c>
      <c r="C966" s="2">
        <v>15.11</v>
      </c>
      <c r="D966" s="2">
        <v>14.4</v>
      </c>
      <c r="E966" s="2">
        <v>14.67</v>
      </c>
      <c r="F966" s="3">
        <v>13.794473</v>
      </c>
      <c r="G966" s="4">
        <v>2094100</v>
      </c>
      <c r="H966">
        <f t="shared" si="15"/>
        <v>9.5891145726989431E-3</v>
      </c>
    </row>
    <row r="967" spans="1:8" x14ac:dyDescent="0.3">
      <c r="A967" s="1">
        <v>43404</v>
      </c>
      <c r="B967" s="2">
        <v>14.81</v>
      </c>
      <c r="C967" s="2">
        <v>14.82</v>
      </c>
      <c r="D967" s="2">
        <v>14.26</v>
      </c>
      <c r="E967" s="2">
        <v>14.6</v>
      </c>
      <c r="F967" s="3">
        <v>13.728650999999999</v>
      </c>
      <c r="G967" s="4">
        <v>1738900</v>
      </c>
      <c r="H967">
        <f t="shared" si="15"/>
        <v>-4.7830634405996286E-3</v>
      </c>
    </row>
    <row r="968" spans="1:8" x14ac:dyDescent="0.3">
      <c r="A968" s="1">
        <v>43405</v>
      </c>
      <c r="B968" s="2">
        <v>14.61</v>
      </c>
      <c r="C968" s="2">
        <v>15.35</v>
      </c>
      <c r="D968" s="2">
        <v>14.6</v>
      </c>
      <c r="E968" s="2">
        <v>15.35</v>
      </c>
      <c r="F968" s="3">
        <v>14.43389</v>
      </c>
      <c r="G968" s="4">
        <v>2754300</v>
      </c>
      <c r="H968">
        <f t="shared" si="15"/>
        <v>5.0093945318915492E-2</v>
      </c>
    </row>
    <row r="969" spans="1:8" x14ac:dyDescent="0.3">
      <c r="A969" s="1">
        <v>43406</v>
      </c>
      <c r="B969" s="2">
        <v>15.42</v>
      </c>
      <c r="C969" s="2">
        <v>15.76</v>
      </c>
      <c r="D969" s="2">
        <v>15.19</v>
      </c>
      <c r="E969" s="2">
        <v>15.61</v>
      </c>
      <c r="F969" s="3">
        <v>14.678372</v>
      </c>
      <c r="G969" s="4">
        <v>1665600</v>
      </c>
      <c r="H969">
        <f t="shared" si="15"/>
        <v>1.6796260494134588E-2</v>
      </c>
    </row>
    <row r="970" spans="1:8" x14ac:dyDescent="0.3">
      <c r="A970" s="1">
        <v>43409</v>
      </c>
      <c r="B970" s="2">
        <v>15.55</v>
      </c>
      <c r="C970" s="2">
        <v>15.56</v>
      </c>
      <c r="D970" s="2">
        <v>14.89</v>
      </c>
      <c r="E970" s="2">
        <v>14.99</v>
      </c>
      <c r="F970" s="3">
        <v>14.095374</v>
      </c>
      <c r="G970" s="4">
        <v>1803600</v>
      </c>
      <c r="H970">
        <f t="shared" si="15"/>
        <v>-4.0528422412834331E-2</v>
      </c>
    </row>
    <row r="971" spans="1:8" x14ac:dyDescent="0.3">
      <c r="A971" s="1">
        <v>43410</v>
      </c>
      <c r="B971" s="2">
        <v>14.95</v>
      </c>
      <c r="C971" s="2">
        <v>15.05</v>
      </c>
      <c r="D971" s="2">
        <v>14.83</v>
      </c>
      <c r="E971" s="2">
        <v>14.95</v>
      </c>
      <c r="F971" s="3">
        <v>14.057760999999999</v>
      </c>
      <c r="G971" s="4">
        <v>1896000</v>
      </c>
      <c r="H971">
        <f t="shared" si="15"/>
        <v>-2.6720122778109688E-3</v>
      </c>
    </row>
    <row r="972" spans="1:8" x14ac:dyDescent="0.3">
      <c r="A972" s="1">
        <v>43411</v>
      </c>
      <c r="B972" s="2">
        <v>15</v>
      </c>
      <c r="C972" s="2">
        <v>15.05</v>
      </c>
      <c r="D972" s="2">
        <v>14.65</v>
      </c>
      <c r="E972" s="2">
        <v>14.9</v>
      </c>
      <c r="F972" s="3">
        <v>14.010745999999999</v>
      </c>
      <c r="G972" s="4">
        <v>2044300</v>
      </c>
      <c r="H972">
        <f t="shared" si="15"/>
        <v>-3.350086885281863E-3</v>
      </c>
    </row>
    <row r="973" spans="1:8" x14ac:dyDescent="0.3">
      <c r="A973" s="1">
        <v>43412</v>
      </c>
      <c r="B973" s="2">
        <v>14.9</v>
      </c>
      <c r="C973" s="2">
        <v>15.02</v>
      </c>
      <c r="D973" s="2">
        <v>14.78</v>
      </c>
      <c r="E973" s="2">
        <v>14.86</v>
      </c>
      <c r="F973" s="3">
        <v>13.973133000000001</v>
      </c>
      <c r="G973" s="4">
        <v>2139300</v>
      </c>
      <c r="H973">
        <f t="shared" si="15"/>
        <v>-2.6881736618004138E-3</v>
      </c>
    </row>
    <row r="974" spans="1:8" x14ac:dyDescent="0.3">
      <c r="A974" s="1">
        <v>43413</v>
      </c>
      <c r="B974" s="2">
        <v>14.72</v>
      </c>
      <c r="C974" s="2">
        <v>14.8</v>
      </c>
      <c r="D974" s="2">
        <v>14.32</v>
      </c>
      <c r="E974" s="2">
        <v>14.64</v>
      </c>
      <c r="F974" s="3">
        <v>13.766264</v>
      </c>
      <c r="G974" s="4">
        <v>1671500</v>
      </c>
      <c r="H974">
        <f t="shared" si="15"/>
        <v>-1.4915530756447519E-2</v>
      </c>
    </row>
    <row r="975" spans="1:8" x14ac:dyDescent="0.3">
      <c r="A975" s="1">
        <v>43416</v>
      </c>
      <c r="B975" s="2">
        <v>14.66</v>
      </c>
      <c r="C975" s="2">
        <v>14.78</v>
      </c>
      <c r="D975" s="2">
        <v>13.86</v>
      </c>
      <c r="E975" s="2">
        <v>13.88</v>
      </c>
      <c r="F975" s="3">
        <v>13.051621000000001</v>
      </c>
      <c r="G975" s="4">
        <v>2400200</v>
      </c>
      <c r="H975">
        <f t="shared" si="15"/>
        <v>-5.3308553454507003E-2</v>
      </c>
    </row>
    <row r="976" spans="1:8" x14ac:dyDescent="0.3">
      <c r="A976" s="1">
        <v>43417</v>
      </c>
      <c r="B976" s="2">
        <v>13.9</v>
      </c>
      <c r="C976" s="2">
        <v>14.18</v>
      </c>
      <c r="D976" s="2">
        <v>13.78</v>
      </c>
      <c r="E976" s="2">
        <v>13.88</v>
      </c>
      <c r="F976" s="3">
        <v>13.051621000000001</v>
      </c>
      <c r="G976" s="4">
        <v>2308200</v>
      </c>
      <c r="H976">
        <f t="shared" si="15"/>
        <v>0</v>
      </c>
    </row>
    <row r="977" spans="1:8" x14ac:dyDescent="0.3">
      <c r="A977" s="1">
        <v>43418</v>
      </c>
      <c r="B977" s="2">
        <v>14.09</v>
      </c>
      <c r="C977" s="2">
        <v>14.11</v>
      </c>
      <c r="D977" s="2">
        <v>12.88</v>
      </c>
      <c r="E977" s="2">
        <v>12.96</v>
      </c>
      <c r="F977" s="3">
        <v>12.186527</v>
      </c>
      <c r="G977" s="4">
        <v>3436100</v>
      </c>
      <c r="H977">
        <f t="shared" si="15"/>
        <v>-6.8581264154529739E-2</v>
      </c>
    </row>
    <row r="978" spans="1:8" x14ac:dyDescent="0.3">
      <c r="A978" s="1">
        <v>43419</v>
      </c>
      <c r="B978" s="2">
        <v>12.96</v>
      </c>
      <c r="C978" s="2">
        <v>13.25</v>
      </c>
      <c r="D978" s="2">
        <v>12.77</v>
      </c>
      <c r="E978" s="2">
        <v>13.13</v>
      </c>
      <c r="F978" s="3">
        <v>12.346382</v>
      </c>
      <c r="G978" s="4">
        <v>3029900</v>
      </c>
      <c r="H978">
        <f t="shared" si="15"/>
        <v>1.3031997390576186E-2</v>
      </c>
    </row>
    <row r="979" spans="1:8" x14ac:dyDescent="0.3">
      <c r="A979" s="1">
        <v>43420</v>
      </c>
      <c r="B979" s="2">
        <v>12.99</v>
      </c>
      <c r="C979" s="2">
        <v>12.99</v>
      </c>
      <c r="D979" s="2">
        <v>12.45</v>
      </c>
      <c r="E979" s="2">
        <v>12.79</v>
      </c>
      <c r="F979" s="3">
        <v>12.026674</v>
      </c>
      <c r="G979" s="4">
        <v>5716700</v>
      </c>
      <c r="H979">
        <f t="shared" si="15"/>
        <v>-2.623607272395358E-2</v>
      </c>
    </row>
    <row r="980" spans="1:8" x14ac:dyDescent="0.3">
      <c r="A980" s="1">
        <v>43423</v>
      </c>
      <c r="B980" s="2">
        <v>12.84</v>
      </c>
      <c r="C980" s="2">
        <v>13.16</v>
      </c>
      <c r="D980" s="2">
        <v>12.77</v>
      </c>
      <c r="E980" s="2">
        <v>13.03</v>
      </c>
      <c r="F980" s="3">
        <v>12.252351000000001</v>
      </c>
      <c r="G980" s="4">
        <v>3450900</v>
      </c>
      <c r="H980">
        <f t="shared" si="15"/>
        <v>1.859077554600249E-2</v>
      </c>
    </row>
    <row r="981" spans="1:8" x14ac:dyDescent="0.3">
      <c r="A981" s="1">
        <v>43424</v>
      </c>
      <c r="B981" s="2">
        <v>12.6</v>
      </c>
      <c r="C981" s="2">
        <v>12.91</v>
      </c>
      <c r="D981" s="2">
        <v>12.14</v>
      </c>
      <c r="E981" s="2">
        <v>12.28</v>
      </c>
      <c r="F981" s="3">
        <v>11.547112</v>
      </c>
      <c r="G981" s="4">
        <v>6034900</v>
      </c>
      <c r="H981">
        <f t="shared" si="15"/>
        <v>-5.9282468417757403E-2</v>
      </c>
    </row>
    <row r="982" spans="1:8" x14ac:dyDescent="0.3">
      <c r="A982" s="1">
        <v>43425</v>
      </c>
      <c r="B982" s="2">
        <v>12.47</v>
      </c>
      <c r="C982" s="2">
        <v>14.5</v>
      </c>
      <c r="D982" s="2">
        <v>12.31</v>
      </c>
      <c r="E982" s="2">
        <v>13.71</v>
      </c>
      <c r="F982" s="3">
        <v>12.891767</v>
      </c>
      <c r="G982" s="4">
        <v>12480800</v>
      </c>
      <c r="H982">
        <f t="shared" si="15"/>
        <v>0.11015357085522677</v>
      </c>
    </row>
    <row r="983" spans="1:8" x14ac:dyDescent="0.3">
      <c r="A983" s="1">
        <v>43427</v>
      </c>
      <c r="B983" s="2">
        <v>13.7</v>
      </c>
      <c r="C983" s="2">
        <v>13.76</v>
      </c>
      <c r="D983" s="2">
        <v>13.16</v>
      </c>
      <c r="E983" s="2">
        <v>13.5</v>
      </c>
      <c r="F983" s="3">
        <v>12.694300999999999</v>
      </c>
      <c r="G983" s="4">
        <v>2691800</v>
      </c>
      <c r="H983">
        <f t="shared" si="15"/>
        <v>-1.5435808129839362E-2</v>
      </c>
    </row>
    <row r="984" spans="1:8" x14ac:dyDescent="0.3">
      <c r="A984" s="1">
        <v>43430</v>
      </c>
      <c r="B984" s="2">
        <v>13.99</v>
      </c>
      <c r="C984" s="2">
        <v>14.78</v>
      </c>
      <c r="D984" s="2">
        <v>13.99</v>
      </c>
      <c r="E984" s="2">
        <v>14.58</v>
      </c>
      <c r="F984" s="3">
        <v>13.709845</v>
      </c>
      <c r="G984" s="4">
        <v>5903400</v>
      </c>
      <c r="H984">
        <f t="shared" si="15"/>
        <v>7.6961041136128394E-2</v>
      </c>
    </row>
    <row r="985" spans="1:8" x14ac:dyDescent="0.3">
      <c r="A985" s="1">
        <v>43431</v>
      </c>
      <c r="B985" s="2">
        <v>14.39</v>
      </c>
      <c r="C985" s="2">
        <v>14.97</v>
      </c>
      <c r="D985" s="2">
        <v>14.2</v>
      </c>
      <c r="E985" s="2">
        <v>14.72</v>
      </c>
      <c r="F985" s="3">
        <v>13.841488999999999</v>
      </c>
      <c r="G985" s="4">
        <v>4384700</v>
      </c>
      <c r="H985">
        <f t="shared" si="15"/>
        <v>9.5563867202182289E-3</v>
      </c>
    </row>
    <row r="986" spans="1:8" x14ac:dyDescent="0.3">
      <c r="A986" s="1">
        <v>43432</v>
      </c>
      <c r="B986" s="2">
        <v>14.72</v>
      </c>
      <c r="C986" s="2">
        <v>15.07</v>
      </c>
      <c r="D986" s="2">
        <v>14.72</v>
      </c>
      <c r="E986" s="2">
        <v>15.01</v>
      </c>
      <c r="F986" s="3">
        <v>14.114182</v>
      </c>
      <c r="G986" s="4">
        <v>2643700</v>
      </c>
      <c r="H986">
        <f t="shared" si="15"/>
        <v>1.9509532344640399E-2</v>
      </c>
    </row>
    <row r="987" spans="1:8" x14ac:dyDescent="0.3">
      <c r="A987" s="1">
        <v>43433</v>
      </c>
      <c r="B987" s="2">
        <v>15.05</v>
      </c>
      <c r="C987" s="2">
        <v>15.22</v>
      </c>
      <c r="D987" s="2">
        <v>14.54</v>
      </c>
      <c r="E987" s="2">
        <v>14.63</v>
      </c>
      <c r="F987" s="3">
        <v>13.75686</v>
      </c>
      <c r="G987" s="4">
        <v>4209600</v>
      </c>
      <c r="H987">
        <f t="shared" si="15"/>
        <v>-2.5642430613337555E-2</v>
      </c>
    </row>
    <row r="988" spans="1:8" x14ac:dyDescent="0.3">
      <c r="A988" s="1">
        <v>43434</v>
      </c>
      <c r="B988" s="2">
        <v>12.99</v>
      </c>
      <c r="C988" s="2">
        <v>13.96</v>
      </c>
      <c r="D988" s="2">
        <v>12.8</v>
      </c>
      <c r="E988" s="2">
        <v>13.66</v>
      </c>
      <c r="F988" s="3">
        <v>12.844749999999999</v>
      </c>
      <c r="G988" s="4">
        <v>11906800</v>
      </c>
      <c r="H988">
        <f t="shared" si="15"/>
        <v>-6.8602360889389036E-2</v>
      </c>
    </row>
    <row r="989" spans="1:8" x14ac:dyDescent="0.3">
      <c r="A989" s="1">
        <v>43437</v>
      </c>
      <c r="B989" s="2">
        <v>13.82</v>
      </c>
      <c r="C989" s="2">
        <v>13.98</v>
      </c>
      <c r="D989" s="2">
        <v>13.53</v>
      </c>
      <c r="E989" s="2">
        <v>13.87</v>
      </c>
      <c r="F989" s="3">
        <v>13.042218</v>
      </c>
      <c r="G989" s="4">
        <v>4021200</v>
      </c>
      <c r="H989">
        <f t="shared" si="15"/>
        <v>1.5256380184096231E-2</v>
      </c>
    </row>
    <row r="990" spans="1:8" x14ac:dyDescent="0.3">
      <c r="A990" s="1">
        <v>43438</v>
      </c>
      <c r="B990" s="2">
        <v>13.99</v>
      </c>
      <c r="C990" s="2">
        <v>14.11</v>
      </c>
      <c r="D990" s="2">
        <v>13.44</v>
      </c>
      <c r="E990" s="2">
        <v>13.5</v>
      </c>
      <c r="F990" s="3">
        <v>12.694300999999999</v>
      </c>
      <c r="G990" s="4">
        <v>3733900</v>
      </c>
      <c r="H990">
        <f t="shared" si="15"/>
        <v>-2.7038548882356399E-2</v>
      </c>
    </row>
    <row r="991" spans="1:8" x14ac:dyDescent="0.3">
      <c r="A991" s="1">
        <v>43440</v>
      </c>
      <c r="B991" s="2">
        <v>13.5</v>
      </c>
      <c r="C991" s="2">
        <v>13.77</v>
      </c>
      <c r="D991" s="2">
        <v>13.24</v>
      </c>
      <c r="E991" s="2">
        <v>13.56</v>
      </c>
      <c r="F991" s="3">
        <v>12.750719</v>
      </c>
      <c r="G991" s="4">
        <v>3197200</v>
      </c>
      <c r="H991">
        <f t="shared" si="15"/>
        <v>4.4345970678657748E-3</v>
      </c>
    </row>
    <row r="992" spans="1:8" x14ac:dyDescent="0.3">
      <c r="A992" s="1">
        <v>43441</v>
      </c>
      <c r="B992" s="2">
        <v>13.55</v>
      </c>
      <c r="C992" s="2">
        <v>14.04</v>
      </c>
      <c r="D992" s="2">
        <v>13.5</v>
      </c>
      <c r="E992" s="2">
        <v>13.68</v>
      </c>
      <c r="F992" s="3">
        <v>12.863557999999999</v>
      </c>
      <c r="G992" s="4">
        <v>3402600</v>
      </c>
      <c r="H992">
        <f t="shared" si="15"/>
        <v>8.8106296821549059E-3</v>
      </c>
    </row>
    <row r="993" spans="1:8" x14ac:dyDescent="0.3">
      <c r="A993" s="1">
        <v>43444</v>
      </c>
      <c r="B993" s="2">
        <v>13.38</v>
      </c>
      <c r="C993" s="2">
        <v>13.44</v>
      </c>
      <c r="D993" s="2">
        <v>12.83</v>
      </c>
      <c r="E993" s="2">
        <v>13.23</v>
      </c>
      <c r="F993" s="3">
        <v>12.795855</v>
      </c>
      <c r="G993" s="4">
        <v>2793700</v>
      </c>
      <c r="H993">
        <f t="shared" si="15"/>
        <v>-3.3447934067540021E-2</v>
      </c>
    </row>
    <row r="994" spans="1:8" x14ac:dyDescent="0.3">
      <c r="A994" s="1">
        <v>43445</v>
      </c>
      <c r="B994" s="2">
        <v>13.35</v>
      </c>
      <c r="C994" s="2">
        <v>13.4</v>
      </c>
      <c r="D994" s="2">
        <v>12.85</v>
      </c>
      <c r="E994" s="2">
        <v>12.95</v>
      </c>
      <c r="F994" s="3">
        <v>12.525043</v>
      </c>
      <c r="G994" s="4">
        <v>2338200</v>
      </c>
      <c r="H994">
        <f t="shared" si="15"/>
        <v>-2.1391189981317671E-2</v>
      </c>
    </row>
    <row r="995" spans="1:8" x14ac:dyDescent="0.3">
      <c r="A995" s="1">
        <v>43446</v>
      </c>
      <c r="B995" s="2">
        <v>13.06</v>
      </c>
      <c r="C995" s="2">
        <v>13.53</v>
      </c>
      <c r="D995" s="2">
        <v>12.98</v>
      </c>
      <c r="E995" s="2">
        <v>13.23</v>
      </c>
      <c r="F995" s="3">
        <v>12.795855</v>
      </c>
      <c r="G995" s="4">
        <v>1817800</v>
      </c>
      <c r="H995">
        <f t="shared" si="15"/>
        <v>2.139118998131756E-2</v>
      </c>
    </row>
    <row r="996" spans="1:8" x14ac:dyDescent="0.3">
      <c r="A996" s="1">
        <v>43447</v>
      </c>
      <c r="B996" s="2">
        <v>13.24</v>
      </c>
      <c r="C996" s="2">
        <v>13.36</v>
      </c>
      <c r="D996" s="2">
        <v>12.67</v>
      </c>
      <c r="E996" s="2">
        <v>12.79</v>
      </c>
      <c r="F996" s="3">
        <v>12.370293999999999</v>
      </c>
      <c r="G996" s="4">
        <v>2436600</v>
      </c>
      <c r="H996">
        <f t="shared" si="15"/>
        <v>-3.3823362536113059E-2</v>
      </c>
    </row>
    <row r="997" spans="1:8" x14ac:dyDescent="0.3">
      <c r="A997" s="1">
        <v>43448</v>
      </c>
      <c r="B997" s="2">
        <v>12.69</v>
      </c>
      <c r="C997" s="2">
        <v>13</v>
      </c>
      <c r="D997" s="2">
        <v>12.69</v>
      </c>
      <c r="E997" s="2">
        <v>12.76</v>
      </c>
      <c r="F997" s="3">
        <v>12.341278000000001</v>
      </c>
      <c r="G997" s="4">
        <v>1663700</v>
      </c>
      <c r="H997">
        <f t="shared" si="15"/>
        <v>-2.3483376741073965E-3</v>
      </c>
    </row>
    <row r="998" spans="1:8" x14ac:dyDescent="0.3">
      <c r="A998" s="1">
        <v>43451</v>
      </c>
      <c r="B998" s="2">
        <v>12.66</v>
      </c>
      <c r="C998" s="2">
        <v>13.1</v>
      </c>
      <c r="D998" s="2">
        <v>12.55</v>
      </c>
      <c r="E998" s="2">
        <v>12.65</v>
      </c>
      <c r="F998" s="3">
        <v>12.234887000000001</v>
      </c>
      <c r="G998" s="4">
        <v>2255700</v>
      </c>
      <c r="H998">
        <f t="shared" si="15"/>
        <v>-8.6580627431145415E-3</v>
      </c>
    </row>
    <row r="999" spans="1:8" x14ac:dyDescent="0.3">
      <c r="A999" s="1">
        <v>43452</v>
      </c>
      <c r="B999" s="2">
        <v>12.65</v>
      </c>
      <c r="C999" s="2">
        <v>13.03</v>
      </c>
      <c r="D999" s="2">
        <v>12.61</v>
      </c>
      <c r="E999" s="2">
        <v>12.73</v>
      </c>
      <c r="F999" s="3">
        <v>12.312262</v>
      </c>
      <c r="G999" s="4">
        <v>2594900</v>
      </c>
      <c r="H999">
        <f t="shared" si="15"/>
        <v>6.3041973957858738E-3</v>
      </c>
    </row>
    <row r="1000" spans="1:8" x14ac:dyDescent="0.3">
      <c r="A1000" s="1">
        <v>43453</v>
      </c>
      <c r="B1000" s="2">
        <v>12.76</v>
      </c>
      <c r="C1000" s="2">
        <v>12.98</v>
      </c>
      <c r="D1000" s="2">
        <v>12.52</v>
      </c>
      <c r="E1000" s="2">
        <v>12.58</v>
      </c>
      <c r="F1000" s="3">
        <v>12.167185</v>
      </c>
      <c r="G1000" s="4">
        <v>2425900</v>
      </c>
      <c r="H1000">
        <f t="shared" si="15"/>
        <v>-1.1853161297020737E-2</v>
      </c>
    </row>
    <row r="1001" spans="1:8" x14ac:dyDescent="0.3">
      <c r="A1001" s="1">
        <v>43454</v>
      </c>
      <c r="B1001" s="2">
        <v>12.6</v>
      </c>
      <c r="C1001" s="2">
        <v>12.94</v>
      </c>
      <c r="D1001" s="2">
        <v>12.21</v>
      </c>
      <c r="E1001" s="2">
        <v>12.43</v>
      </c>
      <c r="F1001" s="3">
        <v>12.022107</v>
      </c>
      <c r="G1001" s="4">
        <v>2671200</v>
      </c>
      <c r="H1001">
        <f t="shared" si="15"/>
        <v>-1.1995345749674802E-2</v>
      </c>
    </row>
    <row r="1002" spans="1:8" x14ac:dyDescent="0.3">
      <c r="A1002" s="1">
        <v>43455</v>
      </c>
      <c r="B1002" s="2">
        <v>12.39</v>
      </c>
      <c r="C1002" s="2">
        <v>12.68</v>
      </c>
      <c r="D1002" s="2">
        <v>11.77</v>
      </c>
      <c r="E1002" s="2">
        <v>11.96</v>
      </c>
      <c r="F1002" s="3">
        <v>11.56753</v>
      </c>
      <c r="G1002" s="4">
        <v>4423000</v>
      </c>
      <c r="H1002">
        <f t="shared" si="15"/>
        <v>-3.8545157000134014E-2</v>
      </c>
    </row>
    <row r="1003" spans="1:8" x14ac:dyDescent="0.3">
      <c r="A1003" s="1">
        <v>43458</v>
      </c>
      <c r="B1003" s="2">
        <v>11.97</v>
      </c>
      <c r="C1003" s="2">
        <v>12.02</v>
      </c>
      <c r="D1003" s="2">
        <v>11.64</v>
      </c>
      <c r="E1003" s="2">
        <v>11.67</v>
      </c>
      <c r="F1003" s="3">
        <v>11.287046</v>
      </c>
      <c r="G1003" s="4">
        <v>1328500</v>
      </c>
      <c r="H1003">
        <f t="shared" si="15"/>
        <v>-2.4546302224021103E-2</v>
      </c>
    </row>
    <row r="1004" spans="1:8" x14ac:dyDescent="0.3">
      <c r="A1004" s="1">
        <v>43460</v>
      </c>
      <c r="B1004" s="2">
        <v>11.72</v>
      </c>
      <c r="C1004" s="2">
        <v>12.4</v>
      </c>
      <c r="D1004" s="2">
        <v>11.56</v>
      </c>
      <c r="E1004" s="2">
        <v>12.4</v>
      </c>
      <c r="F1004" s="3">
        <v>11.993091</v>
      </c>
      <c r="G1004" s="4">
        <v>2404200</v>
      </c>
      <c r="H1004">
        <f t="shared" si="15"/>
        <v>6.0675026312526553E-2</v>
      </c>
    </row>
    <row r="1005" spans="1:8" x14ac:dyDescent="0.3">
      <c r="A1005" s="1">
        <v>43461</v>
      </c>
      <c r="B1005" s="2">
        <v>12.24</v>
      </c>
      <c r="C1005" s="2">
        <v>12.25</v>
      </c>
      <c r="D1005" s="2">
        <v>11.63</v>
      </c>
      <c r="E1005" s="2">
        <v>12.18</v>
      </c>
      <c r="F1005" s="3">
        <v>11.780310999999999</v>
      </c>
      <c r="G1005" s="4">
        <v>1834600</v>
      </c>
      <c r="H1005">
        <f t="shared" si="15"/>
        <v>-1.7901210329240289E-2</v>
      </c>
    </row>
    <row r="1006" spans="1:8" x14ac:dyDescent="0.3">
      <c r="A1006" s="1">
        <v>43462</v>
      </c>
      <c r="B1006" s="2">
        <v>12.21</v>
      </c>
      <c r="C1006" s="2">
        <v>12.49</v>
      </c>
      <c r="D1006" s="2">
        <v>12.01</v>
      </c>
      <c r="E1006" s="2">
        <v>12.28</v>
      </c>
      <c r="F1006" s="3">
        <v>11.877027999999999</v>
      </c>
      <c r="G1006" s="4">
        <v>2026300</v>
      </c>
      <c r="H1006">
        <f t="shared" si="15"/>
        <v>8.1766604372453186E-3</v>
      </c>
    </row>
    <row r="1007" spans="1:8" x14ac:dyDescent="0.3">
      <c r="A1007" s="1">
        <v>43465</v>
      </c>
      <c r="B1007" s="2">
        <v>12.33</v>
      </c>
      <c r="C1007" s="2">
        <v>12.67</v>
      </c>
      <c r="D1007" s="2">
        <v>12.31</v>
      </c>
      <c r="E1007" s="2">
        <v>12.62</v>
      </c>
      <c r="F1007" s="3">
        <v>12.205871999999999</v>
      </c>
      <c r="G1007" s="4">
        <v>2790300</v>
      </c>
      <c r="H1007">
        <f t="shared" si="15"/>
        <v>2.7310934394070705E-2</v>
      </c>
    </row>
    <row r="1008" spans="1:8" x14ac:dyDescent="0.3">
      <c r="A1008" s="1">
        <v>43467</v>
      </c>
      <c r="B1008" s="2">
        <v>12.45</v>
      </c>
      <c r="C1008" s="2">
        <v>13.18</v>
      </c>
      <c r="D1008" s="2">
        <v>12.42</v>
      </c>
      <c r="E1008" s="2">
        <v>13.07</v>
      </c>
      <c r="F1008" s="3">
        <v>12.641105</v>
      </c>
      <c r="G1008" s="4">
        <v>2124200</v>
      </c>
      <c r="H1008">
        <f t="shared" si="15"/>
        <v>3.5036670523063577E-2</v>
      </c>
    </row>
    <row r="1009" spans="1:8" x14ac:dyDescent="0.3">
      <c r="A1009" s="1">
        <v>43468</v>
      </c>
      <c r="B1009" s="2">
        <v>12.98</v>
      </c>
      <c r="C1009" s="2">
        <v>13.26</v>
      </c>
      <c r="D1009" s="2">
        <v>12.69</v>
      </c>
      <c r="E1009" s="2">
        <v>12.97</v>
      </c>
      <c r="F1009" s="3">
        <v>12.544387</v>
      </c>
      <c r="G1009" s="4">
        <v>1750400</v>
      </c>
      <c r="H1009">
        <f t="shared" si="15"/>
        <v>-7.6805293077780437E-3</v>
      </c>
    </row>
    <row r="1010" spans="1:8" x14ac:dyDescent="0.3">
      <c r="A1010" s="1">
        <v>43469</v>
      </c>
      <c r="B1010" s="2">
        <v>14.03</v>
      </c>
      <c r="C1010" s="2">
        <v>15.29</v>
      </c>
      <c r="D1010" s="2">
        <v>13.7</v>
      </c>
      <c r="E1010" s="2">
        <v>15.24</v>
      </c>
      <c r="F1010" s="3">
        <v>14.739896</v>
      </c>
      <c r="G1010" s="4">
        <v>11915700</v>
      </c>
      <c r="H1010">
        <f t="shared" si="15"/>
        <v>0.1612845519301476</v>
      </c>
    </row>
    <row r="1011" spans="1:8" x14ac:dyDescent="0.3">
      <c r="A1011" s="1">
        <v>43472</v>
      </c>
      <c r="B1011" s="2">
        <v>15.11</v>
      </c>
      <c r="C1011" s="2">
        <v>15.81</v>
      </c>
      <c r="D1011" s="2">
        <v>14.94</v>
      </c>
      <c r="E1011" s="2">
        <v>15.48</v>
      </c>
      <c r="F1011" s="3">
        <v>14.972020000000001</v>
      </c>
      <c r="G1011" s="4">
        <v>4718000</v>
      </c>
      <c r="H1011">
        <f t="shared" si="15"/>
        <v>1.5625317903080815E-2</v>
      </c>
    </row>
    <row r="1012" spans="1:8" x14ac:dyDescent="0.3">
      <c r="A1012" s="1">
        <v>43473</v>
      </c>
      <c r="B1012" s="2">
        <v>15.5</v>
      </c>
      <c r="C1012" s="2">
        <v>15.89</v>
      </c>
      <c r="D1012" s="2">
        <v>15.15</v>
      </c>
      <c r="E1012" s="2">
        <v>15.81</v>
      </c>
      <c r="F1012" s="3">
        <v>15.291192000000001</v>
      </c>
      <c r="G1012" s="4">
        <v>3443800</v>
      </c>
      <c r="H1012">
        <f t="shared" si="15"/>
        <v>2.1093783059799628E-2</v>
      </c>
    </row>
    <row r="1013" spans="1:8" x14ac:dyDescent="0.3">
      <c r="A1013" s="1">
        <v>43474</v>
      </c>
      <c r="B1013" s="2">
        <v>15.84</v>
      </c>
      <c r="C1013" s="2">
        <v>16.389999</v>
      </c>
      <c r="D1013" s="2">
        <v>15.72</v>
      </c>
      <c r="E1013" s="2">
        <v>15.98</v>
      </c>
      <c r="F1013" s="3">
        <v>15.455612</v>
      </c>
      <c r="G1013" s="4">
        <v>3554500</v>
      </c>
      <c r="H1013">
        <f t="shared" si="15"/>
        <v>1.069528911674795E-2</v>
      </c>
    </row>
    <row r="1014" spans="1:8" x14ac:dyDescent="0.3">
      <c r="A1014" s="1">
        <v>43475</v>
      </c>
      <c r="B1014" s="2">
        <v>15.74</v>
      </c>
      <c r="C1014" s="2">
        <v>16</v>
      </c>
      <c r="D1014" s="2">
        <v>15.52</v>
      </c>
      <c r="E1014" s="2">
        <v>15.96</v>
      </c>
      <c r="F1014" s="3">
        <v>15.436268999999999</v>
      </c>
      <c r="G1014" s="4">
        <v>2904800</v>
      </c>
      <c r="H1014">
        <f t="shared" si="15"/>
        <v>-1.2523483164658376E-3</v>
      </c>
    </row>
    <row r="1015" spans="1:8" x14ac:dyDescent="0.3">
      <c r="A1015" s="1">
        <v>43476</v>
      </c>
      <c r="B1015" s="2">
        <v>15.86</v>
      </c>
      <c r="C1015" s="2">
        <v>16.049999</v>
      </c>
      <c r="D1015" s="2">
        <v>15.77</v>
      </c>
      <c r="E1015" s="2">
        <v>15.85</v>
      </c>
      <c r="F1015" s="3">
        <v>15.329879</v>
      </c>
      <c r="G1015" s="4">
        <v>2419800</v>
      </c>
      <c r="H1015">
        <f t="shared" si="15"/>
        <v>-6.9160916983731563E-3</v>
      </c>
    </row>
    <row r="1016" spans="1:8" x14ac:dyDescent="0.3">
      <c r="A1016" s="1">
        <v>43479</v>
      </c>
      <c r="B1016" s="2">
        <v>15.84</v>
      </c>
      <c r="C1016" s="2">
        <v>16.139999</v>
      </c>
      <c r="D1016" s="2">
        <v>15.57</v>
      </c>
      <c r="E1016" s="2">
        <v>15.64</v>
      </c>
      <c r="F1016" s="3">
        <v>15.12677</v>
      </c>
      <c r="G1016" s="4">
        <v>3610900</v>
      </c>
      <c r="H1016">
        <f t="shared" si="15"/>
        <v>-1.333776520612456E-2</v>
      </c>
    </row>
    <row r="1017" spans="1:8" x14ac:dyDescent="0.3">
      <c r="A1017" s="1">
        <v>43480</v>
      </c>
      <c r="B1017" s="2">
        <v>15.6</v>
      </c>
      <c r="C1017" s="2">
        <v>15.64</v>
      </c>
      <c r="D1017" s="2">
        <v>15.19</v>
      </c>
      <c r="E1017" s="2">
        <v>15.53</v>
      </c>
      <c r="F1017" s="3">
        <v>15.020379</v>
      </c>
      <c r="G1017" s="4">
        <v>2228200</v>
      </c>
      <c r="H1017">
        <f t="shared" si="15"/>
        <v>-7.0580979565693586E-3</v>
      </c>
    </row>
    <row r="1018" spans="1:8" x14ac:dyDescent="0.3">
      <c r="A1018" s="1">
        <v>43481</v>
      </c>
      <c r="B1018" s="2">
        <v>15.57</v>
      </c>
      <c r="C1018" s="2">
        <v>15.89</v>
      </c>
      <c r="D1018" s="2">
        <v>15.38</v>
      </c>
      <c r="E1018" s="2">
        <v>15.68</v>
      </c>
      <c r="F1018" s="3">
        <v>15.165457999999999</v>
      </c>
      <c r="G1018" s="4">
        <v>1992600</v>
      </c>
      <c r="H1018">
        <f t="shared" si="15"/>
        <v>9.6123777616660341E-3</v>
      </c>
    </row>
    <row r="1019" spans="1:8" x14ac:dyDescent="0.3">
      <c r="A1019" s="1">
        <v>43482</v>
      </c>
      <c r="B1019" s="2">
        <v>15.49</v>
      </c>
      <c r="C1019" s="2">
        <v>15.83</v>
      </c>
      <c r="D1019" s="2">
        <v>15.3</v>
      </c>
      <c r="E1019" s="2">
        <v>15.77</v>
      </c>
      <c r="F1019" s="3">
        <v>15.252504</v>
      </c>
      <c r="G1019" s="4">
        <v>1743000</v>
      </c>
      <c r="H1019">
        <f t="shared" si="15"/>
        <v>5.7233860526852533E-3</v>
      </c>
    </row>
    <row r="1020" spans="1:8" x14ac:dyDescent="0.3">
      <c r="A1020" s="1">
        <v>43483</v>
      </c>
      <c r="B1020" s="2">
        <v>16.02</v>
      </c>
      <c r="C1020" s="2">
        <v>16.899999999999999</v>
      </c>
      <c r="D1020" s="2">
        <v>15.88</v>
      </c>
      <c r="E1020" s="2">
        <v>15.93</v>
      </c>
      <c r="F1020" s="3">
        <v>15.407254</v>
      </c>
      <c r="G1020" s="4">
        <v>8547200</v>
      </c>
      <c r="H1020">
        <f t="shared" si="15"/>
        <v>1.0094722947010255E-2</v>
      </c>
    </row>
    <row r="1021" spans="1:8" x14ac:dyDescent="0.3">
      <c r="A1021" s="1">
        <v>43487</v>
      </c>
      <c r="B1021" s="2">
        <v>15.81</v>
      </c>
      <c r="C1021" s="2">
        <v>15.9</v>
      </c>
      <c r="D1021" s="2">
        <v>15.16</v>
      </c>
      <c r="E1021" s="2">
        <v>15.27</v>
      </c>
      <c r="F1021" s="3">
        <v>14.768912</v>
      </c>
      <c r="G1021" s="4">
        <v>3188700</v>
      </c>
      <c r="H1021">
        <f t="shared" si="15"/>
        <v>-4.2314004691416079E-2</v>
      </c>
    </row>
    <row r="1022" spans="1:8" x14ac:dyDescent="0.3">
      <c r="A1022" s="1">
        <v>43488</v>
      </c>
      <c r="B1022" s="2">
        <v>15.31</v>
      </c>
      <c r="C1022" s="2">
        <v>15.57</v>
      </c>
      <c r="D1022" s="2">
        <v>15.13</v>
      </c>
      <c r="E1022" s="2">
        <v>15.48</v>
      </c>
      <c r="F1022" s="3">
        <v>14.972020000000001</v>
      </c>
      <c r="G1022" s="4">
        <v>1837000</v>
      </c>
      <c r="H1022">
        <f t="shared" si="15"/>
        <v>1.3658748931040044E-2</v>
      </c>
    </row>
    <row r="1023" spans="1:8" x14ac:dyDescent="0.3">
      <c r="A1023" s="1">
        <v>43489</v>
      </c>
      <c r="B1023" s="2">
        <v>15.48</v>
      </c>
      <c r="C1023" s="2">
        <v>15.8</v>
      </c>
      <c r="D1023" s="2">
        <v>15.44</v>
      </c>
      <c r="E1023" s="2">
        <v>15.8</v>
      </c>
      <c r="F1023" s="3">
        <v>15.28152</v>
      </c>
      <c r="G1023" s="4">
        <v>1282000</v>
      </c>
      <c r="H1023">
        <f t="shared" si="15"/>
        <v>2.0461071871340025E-2</v>
      </c>
    </row>
    <row r="1024" spans="1:8" x14ac:dyDescent="0.3">
      <c r="A1024" s="1">
        <v>43490</v>
      </c>
      <c r="B1024" s="2">
        <v>15.96</v>
      </c>
      <c r="C1024" s="2">
        <v>16.059999000000001</v>
      </c>
      <c r="D1024" s="2">
        <v>15.73</v>
      </c>
      <c r="E1024" s="2">
        <v>15.9</v>
      </c>
      <c r="F1024" s="3">
        <v>15.378238</v>
      </c>
      <c r="G1024" s="4">
        <v>1915100</v>
      </c>
      <c r="H1024">
        <f t="shared" si="15"/>
        <v>6.3091691932647556E-3</v>
      </c>
    </row>
    <row r="1025" spans="1:8" x14ac:dyDescent="0.3">
      <c r="A1025" s="1">
        <v>43493</v>
      </c>
      <c r="B1025" s="2">
        <v>15.74</v>
      </c>
      <c r="C1025" s="2">
        <v>15.79</v>
      </c>
      <c r="D1025" s="2">
        <v>14.99</v>
      </c>
      <c r="E1025" s="2">
        <v>15.5</v>
      </c>
      <c r="F1025" s="3">
        <v>14.991364000000001</v>
      </c>
      <c r="G1025" s="4">
        <v>2984900</v>
      </c>
      <c r="H1025">
        <f t="shared" si="15"/>
        <v>-2.5479085300984899E-2</v>
      </c>
    </row>
    <row r="1026" spans="1:8" x14ac:dyDescent="0.3">
      <c r="A1026" s="1">
        <v>43494</v>
      </c>
      <c r="B1026" s="2">
        <v>12.39</v>
      </c>
      <c r="C1026" s="2">
        <v>12.5</v>
      </c>
      <c r="D1026" s="2">
        <v>11.11</v>
      </c>
      <c r="E1026" s="2">
        <v>11.28</v>
      </c>
      <c r="F1026" s="3">
        <v>10.909844</v>
      </c>
      <c r="G1026" s="4">
        <v>32870300</v>
      </c>
      <c r="H1026">
        <f t="shared" si="15"/>
        <v>-0.31780877785528822</v>
      </c>
    </row>
    <row r="1027" spans="1:8" x14ac:dyDescent="0.3">
      <c r="A1027" s="1">
        <v>43495</v>
      </c>
      <c r="B1027" s="2">
        <v>11.25</v>
      </c>
      <c r="C1027" s="2">
        <v>11.37</v>
      </c>
      <c r="D1027" s="2">
        <v>11.11</v>
      </c>
      <c r="E1027" s="2">
        <v>11.2</v>
      </c>
      <c r="F1027" s="3">
        <v>10.832469</v>
      </c>
      <c r="G1027" s="4">
        <v>6151000</v>
      </c>
      <c r="H1027">
        <f t="shared" si="15"/>
        <v>-7.1174677688639896E-3</v>
      </c>
    </row>
    <row r="1028" spans="1:8" x14ac:dyDescent="0.3">
      <c r="A1028" s="1">
        <v>43496</v>
      </c>
      <c r="B1028" s="2">
        <v>11.17</v>
      </c>
      <c r="C1028" s="2">
        <v>11.53</v>
      </c>
      <c r="D1028" s="2">
        <v>11.1</v>
      </c>
      <c r="E1028" s="2">
        <v>11.34</v>
      </c>
      <c r="F1028" s="3">
        <v>10.967874999999999</v>
      </c>
      <c r="G1028" s="4">
        <v>6049600</v>
      </c>
      <c r="H1028">
        <f t="shared" ref="H1028:H1091" si="16">LN(E1028/E1027)</f>
        <v>1.242251999855711E-2</v>
      </c>
    </row>
    <row r="1029" spans="1:8" x14ac:dyDescent="0.3">
      <c r="A1029" s="1">
        <v>43497</v>
      </c>
      <c r="B1029" s="2">
        <v>11.31</v>
      </c>
      <c r="C1029" s="2">
        <v>11.43</v>
      </c>
      <c r="D1029" s="2">
        <v>11.18</v>
      </c>
      <c r="E1029" s="2">
        <v>11.24</v>
      </c>
      <c r="F1029" s="3">
        <v>10.871157</v>
      </c>
      <c r="G1029" s="4">
        <v>3477400</v>
      </c>
      <c r="H1029">
        <f t="shared" si="16"/>
        <v>-8.8574538340609396E-3</v>
      </c>
    </row>
    <row r="1030" spans="1:8" x14ac:dyDescent="0.3">
      <c r="A1030" s="1">
        <v>43500</v>
      </c>
      <c r="B1030" s="2">
        <v>11.24</v>
      </c>
      <c r="C1030" s="2">
        <v>11.48</v>
      </c>
      <c r="D1030" s="2">
        <v>11</v>
      </c>
      <c r="E1030" s="2">
        <v>11.37</v>
      </c>
      <c r="F1030" s="3">
        <v>10.996891</v>
      </c>
      <c r="G1030" s="4">
        <v>4271500</v>
      </c>
      <c r="H1030">
        <f t="shared" si="16"/>
        <v>1.1499463296899645E-2</v>
      </c>
    </row>
    <row r="1031" spans="1:8" x14ac:dyDescent="0.3">
      <c r="A1031" s="1">
        <v>43501</v>
      </c>
      <c r="B1031" s="2">
        <v>11.36</v>
      </c>
      <c r="C1031" s="2">
        <v>11.81</v>
      </c>
      <c r="D1031" s="2">
        <v>11.35</v>
      </c>
      <c r="E1031" s="2">
        <v>11.79</v>
      </c>
      <c r="F1031" s="3">
        <v>11.403109000000001</v>
      </c>
      <c r="G1031" s="4">
        <v>4271100</v>
      </c>
      <c r="H1031">
        <f t="shared" si="16"/>
        <v>3.6273406786834959E-2</v>
      </c>
    </row>
    <row r="1032" spans="1:8" x14ac:dyDescent="0.3">
      <c r="A1032" s="1">
        <v>43502</v>
      </c>
      <c r="B1032" s="2">
        <v>11.62</v>
      </c>
      <c r="C1032" s="2">
        <v>11.7</v>
      </c>
      <c r="D1032" s="2">
        <v>11.4</v>
      </c>
      <c r="E1032" s="2">
        <v>11.51</v>
      </c>
      <c r="F1032" s="3">
        <v>11.132298</v>
      </c>
      <c r="G1032" s="4">
        <v>3479600</v>
      </c>
      <c r="H1032">
        <f t="shared" si="16"/>
        <v>-2.4035491815488273E-2</v>
      </c>
    </row>
    <row r="1033" spans="1:8" x14ac:dyDescent="0.3">
      <c r="A1033" s="1">
        <v>43503</v>
      </c>
      <c r="B1033" s="2">
        <v>11.4</v>
      </c>
      <c r="C1033" s="2">
        <v>11.59</v>
      </c>
      <c r="D1033" s="2">
        <v>11.23</v>
      </c>
      <c r="E1033" s="2">
        <v>11.47</v>
      </c>
      <c r="F1033" s="3">
        <v>11.09361</v>
      </c>
      <c r="G1033" s="4">
        <v>2021100</v>
      </c>
      <c r="H1033">
        <f t="shared" si="16"/>
        <v>-3.4812915925118912E-3</v>
      </c>
    </row>
    <row r="1034" spans="1:8" x14ac:dyDescent="0.3">
      <c r="A1034" s="1">
        <v>43504</v>
      </c>
      <c r="B1034" s="2">
        <v>11.39</v>
      </c>
      <c r="C1034" s="2">
        <v>11.49</v>
      </c>
      <c r="D1034" s="2">
        <v>11.31</v>
      </c>
      <c r="E1034" s="2">
        <v>11.35</v>
      </c>
      <c r="F1034" s="3">
        <v>10.977548000000001</v>
      </c>
      <c r="G1034" s="4">
        <v>1801200</v>
      </c>
      <c r="H1034">
        <f t="shared" si="16"/>
        <v>-1.0517187213867692E-2</v>
      </c>
    </row>
    <row r="1035" spans="1:8" x14ac:dyDescent="0.3">
      <c r="A1035" s="1">
        <v>43507</v>
      </c>
      <c r="B1035" s="2">
        <v>11.38</v>
      </c>
      <c r="C1035" s="2">
        <v>11.39</v>
      </c>
      <c r="D1035" s="2">
        <v>11.16</v>
      </c>
      <c r="E1035" s="2">
        <v>11.3</v>
      </c>
      <c r="F1035" s="3">
        <v>10.929188</v>
      </c>
      <c r="G1035" s="4">
        <v>1918600</v>
      </c>
      <c r="H1035">
        <f t="shared" si="16"/>
        <v>-4.4150182091167202E-3</v>
      </c>
    </row>
    <row r="1036" spans="1:8" x14ac:dyDescent="0.3">
      <c r="A1036" s="1">
        <v>43508</v>
      </c>
      <c r="B1036" s="2">
        <v>11.3</v>
      </c>
      <c r="C1036" s="2">
        <v>11.59</v>
      </c>
      <c r="D1036" s="2">
        <v>11.3</v>
      </c>
      <c r="E1036" s="2">
        <v>11.55</v>
      </c>
      <c r="F1036" s="3">
        <v>11.170984000000001</v>
      </c>
      <c r="G1036" s="4">
        <v>2678000</v>
      </c>
      <c r="H1036">
        <f t="shared" si="16"/>
        <v>2.1882711249507587E-2</v>
      </c>
    </row>
    <row r="1037" spans="1:8" x14ac:dyDescent="0.3">
      <c r="A1037" s="1">
        <v>43509</v>
      </c>
      <c r="B1037" s="2">
        <v>11.56</v>
      </c>
      <c r="C1037" s="2">
        <v>11.75</v>
      </c>
      <c r="D1037" s="2">
        <v>11.38</v>
      </c>
      <c r="E1037" s="2">
        <v>11.47</v>
      </c>
      <c r="F1037" s="3">
        <v>11.09361</v>
      </c>
      <c r="G1037" s="4">
        <v>2132800</v>
      </c>
      <c r="H1037">
        <f t="shared" si="16"/>
        <v>-6.9505058265231902E-3</v>
      </c>
    </row>
    <row r="1038" spans="1:8" x14ac:dyDescent="0.3">
      <c r="A1038" s="1">
        <v>43510</v>
      </c>
      <c r="B1038" s="2">
        <v>11.37</v>
      </c>
      <c r="C1038" s="2">
        <v>11.42</v>
      </c>
      <c r="D1038" s="2">
        <v>11.24</v>
      </c>
      <c r="E1038" s="2">
        <v>11.33</v>
      </c>
      <c r="F1038" s="3">
        <v>10.958202999999999</v>
      </c>
      <c r="G1038" s="4">
        <v>2468500</v>
      </c>
      <c r="H1038">
        <f t="shared" si="16"/>
        <v>-1.2280856101364397E-2</v>
      </c>
    </row>
    <row r="1039" spans="1:8" x14ac:dyDescent="0.3">
      <c r="A1039" s="1">
        <v>43511</v>
      </c>
      <c r="B1039" s="2">
        <v>11.33</v>
      </c>
      <c r="C1039" s="2">
        <v>11.44</v>
      </c>
      <c r="D1039" s="2">
        <v>11.28</v>
      </c>
      <c r="E1039" s="2">
        <v>11.43</v>
      </c>
      <c r="F1039" s="3">
        <v>11.054921999999999</v>
      </c>
      <c r="G1039" s="4">
        <v>2211800</v>
      </c>
      <c r="H1039">
        <f t="shared" si="16"/>
        <v>8.7874027668042379E-3</v>
      </c>
    </row>
    <row r="1040" spans="1:8" x14ac:dyDescent="0.3">
      <c r="A1040" s="1">
        <v>43515</v>
      </c>
      <c r="B1040" s="2">
        <v>11.46</v>
      </c>
      <c r="C1040" s="2">
        <v>11.47</v>
      </c>
      <c r="D1040" s="2">
        <v>11.13</v>
      </c>
      <c r="E1040" s="2">
        <v>11.2</v>
      </c>
      <c r="F1040" s="3">
        <v>10.832469</v>
      </c>
      <c r="G1040" s="4">
        <v>3305600</v>
      </c>
      <c r="H1040">
        <f t="shared" si="16"/>
        <v>-2.0327699505670517E-2</v>
      </c>
    </row>
    <row r="1041" spans="1:8" x14ac:dyDescent="0.3">
      <c r="A1041" s="1">
        <v>43516</v>
      </c>
      <c r="B1041" s="2">
        <v>11.23</v>
      </c>
      <c r="C1041" s="2">
        <v>11.3</v>
      </c>
      <c r="D1041" s="2">
        <v>11.15</v>
      </c>
      <c r="E1041" s="2">
        <v>11.2</v>
      </c>
      <c r="F1041" s="3">
        <v>10.832469</v>
      </c>
      <c r="G1041" s="4">
        <v>2960500</v>
      </c>
      <c r="H1041">
        <f t="shared" si="16"/>
        <v>0</v>
      </c>
    </row>
    <row r="1042" spans="1:8" x14ac:dyDescent="0.3">
      <c r="A1042" s="1">
        <v>43517</v>
      </c>
      <c r="B1042" s="2">
        <v>11.23</v>
      </c>
      <c r="C1042" s="2">
        <v>11.29</v>
      </c>
      <c r="D1042" s="2">
        <v>11.01</v>
      </c>
      <c r="E1042" s="2">
        <v>11.03</v>
      </c>
      <c r="F1042" s="3">
        <v>10.668048000000001</v>
      </c>
      <c r="G1042" s="4">
        <v>2489200</v>
      </c>
      <c r="H1042">
        <f t="shared" si="16"/>
        <v>-1.5294945035637702E-2</v>
      </c>
    </row>
    <row r="1043" spans="1:8" x14ac:dyDescent="0.3">
      <c r="A1043" s="1">
        <v>43518</v>
      </c>
      <c r="B1043" s="2">
        <v>11.02</v>
      </c>
      <c r="C1043" s="2">
        <v>11.38</v>
      </c>
      <c r="D1043" s="2">
        <v>11.02</v>
      </c>
      <c r="E1043" s="2">
        <v>11.37</v>
      </c>
      <c r="F1043" s="3">
        <v>10.996891</v>
      </c>
      <c r="G1043" s="4">
        <v>3249500</v>
      </c>
      <c r="H1043">
        <f t="shared" si="16"/>
        <v>3.0359474497033561E-2</v>
      </c>
    </row>
    <row r="1044" spans="1:8" x14ac:dyDescent="0.3">
      <c r="A1044" s="1">
        <v>43521</v>
      </c>
      <c r="B1044" s="2">
        <v>11.38</v>
      </c>
      <c r="C1044" s="2">
        <v>11.8</v>
      </c>
      <c r="D1044" s="2">
        <v>11.38</v>
      </c>
      <c r="E1044" s="2">
        <v>11.55</v>
      </c>
      <c r="F1044" s="3">
        <v>11.170984000000001</v>
      </c>
      <c r="G1044" s="4">
        <v>3594500</v>
      </c>
      <c r="H1044">
        <f t="shared" si="16"/>
        <v>1.5707129205358095E-2</v>
      </c>
    </row>
    <row r="1045" spans="1:8" x14ac:dyDescent="0.3">
      <c r="A1045" s="1">
        <v>43522</v>
      </c>
      <c r="B1045" s="2">
        <v>11.54</v>
      </c>
      <c r="C1045" s="2">
        <v>11.71</v>
      </c>
      <c r="D1045" s="2">
        <v>11.5</v>
      </c>
      <c r="E1045" s="2">
        <v>11.64</v>
      </c>
      <c r="F1045" s="3">
        <v>11.258031000000001</v>
      </c>
      <c r="G1045" s="4">
        <v>2158000</v>
      </c>
      <c r="H1045">
        <f t="shared" si="16"/>
        <v>7.7620053354891094E-3</v>
      </c>
    </row>
    <row r="1046" spans="1:8" x14ac:dyDescent="0.3">
      <c r="A1046" s="1">
        <v>43523</v>
      </c>
      <c r="B1046" s="2">
        <v>11.66</v>
      </c>
      <c r="C1046" s="2">
        <v>11.93</v>
      </c>
      <c r="D1046" s="2">
        <v>11.62</v>
      </c>
      <c r="E1046" s="2">
        <v>11.67</v>
      </c>
      <c r="F1046" s="3">
        <v>11.287046</v>
      </c>
      <c r="G1046" s="4">
        <v>3397300</v>
      </c>
      <c r="H1046">
        <f t="shared" si="16"/>
        <v>2.5740039951728426E-3</v>
      </c>
    </row>
    <row r="1047" spans="1:8" x14ac:dyDescent="0.3">
      <c r="A1047" s="1">
        <v>43524</v>
      </c>
      <c r="B1047" s="2">
        <v>11.69</v>
      </c>
      <c r="C1047" s="2">
        <v>11.86</v>
      </c>
      <c r="D1047" s="2">
        <v>11.59</v>
      </c>
      <c r="E1047" s="2">
        <v>11.7</v>
      </c>
      <c r="F1047" s="3">
        <v>11.316062000000001</v>
      </c>
      <c r="G1047" s="4">
        <v>2820200</v>
      </c>
      <c r="H1047">
        <f t="shared" si="16"/>
        <v>2.5673955052457334E-3</v>
      </c>
    </row>
    <row r="1048" spans="1:8" x14ac:dyDescent="0.3">
      <c r="A1048" s="1">
        <v>43525</v>
      </c>
      <c r="B1048" s="2">
        <v>11.88</v>
      </c>
      <c r="C1048" s="2">
        <v>12.01</v>
      </c>
      <c r="D1048" s="2">
        <v>11.75</v>
      </c>
      <c r="E1048" s="2">
        <v>11.75</v>
      </c>
      <c r="F1048" s="3">
        <v>11.364421</v>
      </c>
      <c r="G1048" s="4">
        <v>1901200</v>
      </c>
      <c r="H1048">
        <f t="shared" si="16"/>
        <v>4.264398786457518E-3</v>
      </c>
    </row>
    <row r="1049" spans="1:8" x14ac:dyDescent="0.3">
      <c r="A1049" s="1">
        <v>43528</v>
      </c>
      <c r="B1049" s="2">
        <v>11.79</v>
      </c>
      <c r="C1049" s="2">
        <v>11.85</v>
      </c>
      <c r="D1049" s="2">
        <v>11.47</v>
      </c>
      <c r="E1049" s="2">
        <v>11.57</v>
      </c>
      <c r="F1049" s="3">
        <v>11.190327999999999</v>
      </c>
      <c r="G1049" s="4">
        <v>2228600</v>
      </c>
      <c r="H1049">
        <f t="shared" si="16"/>
        <v>-1.5437699384582695E-2</v>
      </c>
    </row>
    <row r="1050" spans="1:8" x14ac:dyDescent="0.3">
      <c r="A1050" s="1">
        <v>43529</v>
      </c>
      <c r="B1050" s="2">
        <v>12.08</v>
      </c>
      <c r="C1050" s="2">
        <v>12.1</v>
      </c>
      <c r="D1050" s="2">
        <v>11.36</v>
      </c>
      <c r="E1050" s="2">
        <v>11.6</v>
      </c>
      <c r="F1050" s="3">
        <v>11.219344</v>
      </c>
      <c r="G1050" s="4">
        <v>5537900</v>
      </c>
      <c r="H1050">
        <f t="shared" si="16"/>
        <v>2.5895569067336767E-3</v>
      </c>
    </row>
    <row r="1051" spans="1:8" x14ac:dyDescent="0.3">
      <c r="A1051" s="1">
        <v>43530</v>
      </c>
      <c r="B1051" s="2">
        <v>11.66</v>
      </c>
      <c r="C1051" s="2">
        <v>11.87</v>
      </c>
      <c r="D1051" s="2">
        <v>11.56</v>
      </c>
      <c r="E1051" s="2">
        <v>11.56</v>
      </c>
      <c r="F1051" s="3">
        <v>11.180656000000001</v>
      </c>
      <c r="G1051" s="4">
        <v>3312900</v>
      </c>
      <c r="H1051">
        <f t="shared" si="16"/>
        <v>-3.4542348680874461E-3</v>
      </c>
    </row>
    <row r="1052" spans="1:8" x14ac:dyDescent="0.3">
      <c r="A1052" s="1">
        <v>43531</v>
      </c>
      <c r="B1052" s="2">
        <v>11.56</v>
      </c>
      <c r="C1052" s="2">
        <v>11.66</v>
      </c>
      <c r="D1052" s="2">
        <v>11.44</v>
      </c>
      <c r="E1052" s="2">
        <v>11.59</v>
      </c>
      <c r="F1052" s="3">
        <v>11.209671999999999</v>
      </c>
      <c r="G1052" s="4">
        <v>1811400</v>
      </c>
      <c r="H1052">
        <f t="shared" si="16"/>
        <v>2.591794107428803E-3</v>
      </c>
    </row>
    <row r="1053" spans="1:8" x14ac:dyDescent="0.3">
      <c r="A1053" s="1">
        <v>43532</v>
      </c>
      <c r="B1053" s="2">
        <v>11.07</v>
      </c>
      <c r="C1053" s="2">
        <v>11.22</v>
      </c>
      <c r="D1053" s="2">
        <v>10.75</v>
      </c>
      <c r="E1053" s="2">
        <v>10.97</v>
      </c>
      <c r="F1053" s="3">
        <v>10.610018</v>
      </c>
      <c r="G1053" s="4">
        <v>6171600</v>
      </c>
      <c r="H1053">
        <f t="shared" si="16"/>
        <v>-5.4978383064521373E-2</v>
      </c>
    </row>
    <row r="1054" spans="1:8" x14ac:dyDescent="0.3">
      <c r="A1054" s="1">
        <v>43535</v>
      </c>
      <c r="B1054" s="2">
        <v>10.98</v>
      </c>
      <c r="C1054" s="2">
        <v>11.28</v>
      </c>
      <c r="D1054" s="2">
        <v>10.89</v>
      </c>
      <c r="E1054" s="2">
        <v>11.26</v>
      </c>
      <c r="F1054" s="3">
        <v>10.890501</v>
      </c>
      <c r="G1054" s="4">
        <v>2703600</v>
      </c>
      <c r="H1054">
        <f t="shared" si="16"/>
        <v>2.609234842440529E-2</v>
      </c>
    </row>
    <row r="1055" spans="1:8" x14ac:dyDescent="0.3">
      <c r="A1055" s="1">
        <v>43536</v>
      </c>
      <c r="B1055" s="2">
        <v>11.28</v>
      </c>
      <c r="C1055" s="2">
        <v>11.55</v>
      </c>
      <c r="D1055" s="2">
        <v>11.23</v>
      </c>
      <c r="E1055" s="2">
        <v>11.47</v>
      </c>
      <c r="F1055" s="3">
        <v>11.09361</v>
      </c>
      <c r="G1055" s="4">
        <v>2164900</v>
      </c>
      <c r="H1055">
        <f t="shared" si="16"/>
        <v>1.8478308429735069E-2</v>
      </c>
    </row>
    <row r="1056" spans="1:8" x14ac:dyDescent="0.3">
      <c r="A1056" s="1">
        <v>43537</v>
      </c>
      <c r="B1056" s="2">
        <v>11.54</v>
      </c>
      <c r="C1056" s="2">
        <v>11.64</v>
      </c>
      <c r="D1056" s="2">
        <v>11.47</v>
      </c>
      <c r="E1056" s="2">
        <v>11.58</v>
      </c>
      <c r="F1056" s="3">
        <v>11.2</v>
      </c>
      <c r="G1056" s="4">
        <v>2191600</v>
      </c>
      <c r="H1056">
        <f t="shared" si="16"/>
        <v>9.544541003569872E-3</v>
      </c>
    </row>
    <row r="1057" spans="1:8" x14ac:dyDescent="0.3">
      <c r="A1057" s="1">
        <v>43538</v>
      </c>
      <c r="B1057" s="2">
        <v>11.31</v>
      </c>
      <c r="C1057" s="2">
        <v>11.34</v>
      </c>
      <c r="D1057" s="2">
        <v>10.9</v>
      </c>
      <c r="E1057" s="2">
        <v>10.95</v>
      </c>
      <c r="F1057" s="3">
        <v>10.95</v>
      </c>
      <c r="G1057" s="4">
        <v>2839600</v>
      </c>
      <c r="H1057">
        <f t="shared" si="16"/>
        <v>-5.5940015882339447E-2</v>
      </c>
    </row>
    <row r="1058" spans="1:8" x14ac:dyDescent="0.3">
      <c r="A1058" s="1">
        <v>43539</v>
      </c>
      <c r="B1058" s="2">
        <v>10.99</v>
      </c>
      <c r="C1058" s="2">
        <v>11.12</v>
      </c>
      <c r="D1058" s="2">
        <v>10.9</v>
      </c>
      <c r="E1058" s="2">
        <v>11.06</v>
      </c>
      <c r="F1058" s="3">
        <v>11.06</v>
      </c>
      <c r="G1058" s="4">
        <v>3537400</v>
      </c>
      <c r="H1058">
        <f t="shared" si="16"/>
        <v>9.9955398316790567E-3</v>
      </c>
    </row>
    <row r="1059" spans="1:8" x14ac:dyDescent="0.3">
      <c r="A1059" s="1">
        <v>43542</v>
      </c>
      <c r="B1059" s="2">
        <v>11.09</v>
      </c>
      <c r="C1059" s="2">
        <v>11.17</v>
      </c>
      <c r="D1059" s="2">
        <v>10.98</v>
      </c>
      <c r="E1059" s="2">
        <v>11.07</v>
      </c>
      <c r="F1059" s="3">
        <v>11.07</v>
      </c>
      <c r="G1059" s="4">
        <v>2451200</v>
      </c>
      <c r="H1059">
        <f t="shared" si="16"/>
        <v>9.0375062635667913E-4</v>
      </c>
    </row>
    <row r="1060" spans="1:8" x14ac:dyDescent="0.3">
      <c r="A1060" s="1">
        <v>43543</v>
      </c>
      <c r="B1060" s="2">
        <v>11.07</v>
      </c>
      <c r="C1060" s="2">
        <v>11.24</v>
      </c>
      <c r="D1060" s="2">
        <v>10.9</v>
      </c>
      <c r="E1060" s="2">
        <v>10.96</v>
      </c>
      <c r="F1060" s="3">
        <v>10.96</v>
      </c>
      <c r="G1060" s="4">
        <v>3089900</v>
      </c>
      <c r="H1060">
        <f t="shared" si="16"/>
        <v>-9.9864652006759393E-3</v>
      </c>
    </row>
    <row r="1061" spans="1:8" x14ac:dyDescent="0.3">
      <c r="A1061" s="1">
        <v>43544</v>
      </c>
      <c r="B1061" s="2">
        <v>10.96</v>
      </c>
      <c r="C1061" s="2">
        <v>10.96</v>
      </c>
      <c r="D1061" s="2">
        <v>10.4</v>
      </c>
      <c r="E1061" s="2">
        <v>10.5</v>
      </c>
      <c r="F1061" s="3">
        <v>10.5</v>
      </c>
      <c r="G1061" s="4">
        <v>4103900</v>
      </c>
      <c r="H1061">
        <f t="shared" si="16"/>
        <v>-4.2877024356391881E-2</v>
      </c>
    </row>
    <row r="1062" spans="1:8" x14ac:dyDescent="0.3">
      <c r="A1062" s="1">
        <v>43545</v>
      </c>
      <c r="B1062" s="2">
        <v>10.47</v>
      </c>
      <c r="C1062" s="2">
        <v>10.73</v>
      </c>
      <c r="D1062" s="2">
        <v>10.35</v>
      </c>
      <c r="E1062" s="2">
        <v>10.55</v>
      </c>
      <c r="F1062" s="3">
        <v>10.55</v>
      </c>
      <c r="G1062" s="4">
        <v>3205300</v>
      </c>
      <c r="H1062">
        <f t="shared" si="16"/>
        <v>4.7506027585977988E-3</v>
      </c>
    </row>
    <row r="1063" spans="1:8" x14ac:dyDescent="0.3">
      <c r="A1063" s="1">
        <v>43546</v>
      </c>
      <c r="B1063" s="2">
        <v>10.65</v>
      </c>
      <c r="C1063" s="2">
        <v>10.66</v>
      </c>
      <c r="D1063" s="2">
        <v>10.44</v>
      </c>
      <c r="E1063" s="2">
        <v>10.45</v>
      </c>
      <c r="F1063" s="3">
        <v>10.45</v>
      </c>
      <c r="G1063" s="4">
        <v>3289000</v>
      </c>
      <c r="H1063">
        <f t="shared" si="16"/>
        <v>-9.5238815112555896E-3</v>
      </c>
    </row>
    <row r="1064" spans="1:8" x14ac:dyDescent="0.3">
      <c r="A1064" s="1">
        <v>43549</v>
      </c>
      <c r="B1064" s="2">
        <v>10.46</v>
      </c>
      <c r="C1064" s="2">
        <v>10.49</v>
      </c>
      <c r="D1064" s="2">
        <v>10.07</v>
      </c>
      <c r="E1064" s="2">
        <v>10.14</v>
      </c>
      <c r="F1064" s="3">
        <v>10.14</v>
      </c>
      <c r="G1064" s="4">
        <v>4486200</v>
      </c>
      <c r="H1064">
        <f t="shared" si="16"/>
        <v>-3.0113980247782814E-2</v>
      </c>
    </row>
    <row r="1065" spans="1:8" x14ac:dyDescent="0.3">
      <c r="A1065" s="1">
        <v>43550</v>
      </c>
      <c r="B1065" s="2">
        <v>10.11</v>
      </c>
      <c r="C1065" s="2">
        <v>10.44</v>
      </c>
      <c r="D1065" s="2">
        <v>10.09</v>
      </c>
      <c r="E1065" s="2">
        <v>10.35</v>
      </c>
      <c r="F1065" s="3">
        <v>10.35</v>
      </c>
      <c r="G1065" s="4">
        <v>3535100</v>
      </c>
      <c r="H1065">
        <f t="shared" si="16"/>
        <v>2.0498521548340969E-2</v>
      </c>
    </row>
    <row r="1066" spans="1:8" x14ac:dyDescent="0.3">
      <c r="A1066" s="1">
        <v>43551</v>
      </c>
      <c r="B1066" s="2">
        <v>10.37</v>
      </c>
      <c r="C1066" s="2">
        <v>10.54</v>
      </c>
      <c r="D1066" s="2">
        <v>10.25</v>
      </c>
      <c r="E1066" s="2">
        <v>10.29</v>
      </c>
      <c r="F1066" s="3">
        <v>10.29</v>
      </c>
      <c r="G1066" s="4">
        <v>2606200</v>
      </c>
      <c r="H1066">
        <f t="shared" si="16"/>
        <v>-5.8139698654198447E-3</v>
      </c>
    </row>
    <row r="1067" spans="1:8" x14ac:dyDescent="0.3">
      <c r="A1067" s="1">
        <v>43552</v>
      </c>
      <c r="B1067" s="2">
        <v>10.36</v>
      </c>
      <c r="C1067" s="2">
        <v>10.49</v>
      </c>
      <c r="D1067" s="2">
        <v>10.07</v>
      </c>
      <c r="E1067" s="2">
        <v>10.19</v>
      </c>
      <c r="F1067" s="3">
        <v>10.19</v>
      </c>
      <c r="G1067" s="4">
        <v>3122300</v>
      </c>
      <c r="H1067">
        <f t="shared" si="16"/>
        <v>-9.7657026113247888E-3</v>
      </c>
    </row>
    <row r="1068" spans="1:8" x14ac:dyDescent="0.3">
      <c r="A1068" s="1">
        <v>43553</v>
      </c>
      <c r="B1068" s="2">
        <v>10.210000000000001</v>
      </c>
      <c r="C1068" s="2">
        <v>10.36</v>
      </c>
      <c r="D1068" s="2">
        <v>10.15</v>
      </c>
      <c r="E1068" s="2">
        <v>10.16</v>
      </c>
      <c r="F1068" s="3">
        <v>10.16</v>
      </c>
      <c r="G1068" s="4">
        <v>2919000</v>
      </c>
      <c r="H1068">
        <f t="shared" si="16"/>
        <v>-2.9484050842975454E-3</v>
      </c>
    </row>
    <row r="1069" spans="1:8" x14ac:dyDescent="0.3">
      <c r="A1069" s="1">
        <v>43556</v>
      </c>
      <c r="B1069" s="2">
        <v>10.29</v>
      </c>
      <c r="C1069" s="2">
        <v>10.42</v>
      </c>
      <c r="D1069" s="2">
        <v>10.039999999999999</v>
      </c>
      <c r="E1069" s="2">
        <v>10.37</v>
      </c>
      <c r="F1069" s="3">
        <v>10.37</v>
      </c>
      <c r="G1069" s="4">
        <v>4415700</v>
      </c>
      <c r="H1069">
        <f t="shared" si="16"/>
        <v>2.0458580091100093E-2</v>
      </c>
    </row>
    <row r="1070" spans="1:8" x14ac:dyDescent="0.3">
      <c r="A1070" s="1">
        <v>43557</v>
      </c>
      <c r="B1070" s="2">
        <v>10.37</v>
      </c>
      <c r="C1070" s="2">
        <v>10.41</v>
      </c>
      <c r="D1070" s="2">
        <v>10.09</v>
      </c>
      <c r="E1070" s="2">
        <v>10.1</v>
      </c>
      <c r="F1070" s="3">
        <v>10.1</v>
      </c>
      <c r="G1070" s="4">
        <v>8670200</v>
      </c>
      <c r="H1070">
        <f t="shared" si="16"/>
        <v>-2.6381598394222171E-2</v>
      </c>
    </row>
    <row r="1071" spans="1:8" x14ac:dyDescent="0.3">
      <c r="A1071" s="1">
        <v>43558</v>
      </c>
      <c r="B1071" s="2">
        <v>8.86</v>
      </c>
      <c r="C1071" s="2">
        <v>10.029999999999999</v>
      </c>
      <c r="D1071" s="2">
        <v>8.82</v>
      </c>
      <c r="E1071" s="2">
        <v>9.6300000000000008</v>
      </c>
      <c r="F1071" s="3">
        <v>9.6300000000000008</v>
      </c>
      <c r="G1071" s="4">
        <v>26597900</v>
      </c>
      <c r="H1071">
        <f t="shared" si="16"/>
        <v>-4.7652198037179502E-2</v>
      </c>
    </row>
    <row r="1072" spans="1:8" x14ac:dyDescent="0.3">
      <c r="A1072" s="1">
        <v>43559</v>
      </c>
      <c r="B1072" s="2">
        <v>9.74</v>
      </c>
      <c r="C1072" s="2">
        <v>10.06</v>
      </c>
      <c r="D1072" s="2">
        <v>9.65</v>
      </c>
      <c r="E1072" s="2">
        <v>10.029999999999999</v>
      </c>
      <c r="F1072" s="3">
        <v>10.029999999999999</v>
      </c>
      <c r="G1072" s="4">
        <v>7917800</v>
      </c>
      <c r="H1072">
        <f t="shared" si="16"/>
        <v>4.0697376163809834E-2</v>
      </c>
    </row>
    <row r="1073" spans="1:8" x14ac:dyDescent="0.3">
      <c r="A1073" s="1">
        <v>43560</v>
      </c>
      <c r="B1073" s="2">
        <v>9.9600000000000009</v>
      </c>
      <c r="C1073" s="2">
        <v>10.01</v>
      </c>
      <c r="D1073" s="2">
        <v>9.7899999999999991</v>
      </c>
      <c r="E1073" s="2">
        <v>9.86</v>
      </c>
      <c r="F1073" s="3">
        <v>9.86</v>
      </c>
      <c r="G1073" s="4">
        <v>5743600</v>
      </c>
      <c r="H1073">
        <f t="shared" si="16"/>
        <v>-1.7094433359300068E-2</v>
      </c>
    </row>
    <row r="1074" spans="1:8" x14ac:dyDescent="0.3">
      <c r="A1074" s="1">
        <v>43563</v>
      </c>
      <c r="B1074" s="2">
        <v>9.7899999999999991</v>
      </c>
      <c r="C1074" s="2">
        <v>10.08</v>
      </c>
      <c r="D1074" s="2">
        <v>9.73</v>
      </c>
      <c r="E1074" s="2">
        <v>9.94</v>
      </c>
      <c r="F1074" s="3">
        <v>9.94</v>
      </c>
      <c r="G1074" s="4">
        <v>4551000</v>
      </c>
      <c r="H1074">
        <f t="shared" si="16"/>
        <v>8.0808520539386742E-3</v>
      </c>
    </row>
    <row r="1075" spans="1:8" x14ac:dyDescent="0.3">
      <c r="A1075" s="1">
        <v>43564</v>
      </c>
      <c r="B1075" s="2">
        <v>9.85</v>
      </c>
      <c r="C1075" s="2">
        <v>10</v>
      </c>
      <c r="D1075" s="2">
        <v>9.81</v>
      </c>
      <c r="E1075" s="2">
        <v>9.82</v>
      </c>
      <c r="F1075" s="3">
        <v>9.82</v>
      </c>
      <c r="G1075" s="4">
        <v>2978500</v>
      </c>
      <c r="H1075">
        <f t="shared" si="16"/>
        <v>-1.2145898302108115E-2</v>
      </c>
    </row>
    <row r="1076" spans="1:8" x14ac:dyDescent="0.3">
      <c r="A1076" s="1">
        <v>43565</v>
      </c>
      <c r="B1076" s="2">
        <v>9.8800000000000008</v>
      </c>
      <c r="C1076" s="2">
        <v>10.01</v>
      </c>
      <c r="D1076" s="2">
        <v>9.8800000000000008</v>
      </c>
      <c r="E1076" s="2">
        <v>9.9700000000000006</v>
      </c>
      <c r="F1076" s="3">
        <v>9.9700000000000006</v>
      </c>
      <c r="G1076" s="4">
        <v>2807200</v>
      </c>
      <c r="H1076">
        <f t="shared" si="16"/>
        <v>1.5159461607372518E-2</v>
      </c>
    </row>
    <row r="1077" spans="1:8" x14ac:dyDescent="0.3">
      <c r="A1077" s="1">
        <v>43566</v>
      </c>
      <c r="B1077" s="2">
        <v>9.98</v>
      </c>
      <c r="C1077" s="2">
        <v>9.98</v>
      </c>
      <c r="D1077" s="2">
        <v>9.74</v>
      </c>
      <c r="E1077" s="2">
        <v>9.76</v>
      </c>
      <c r="F1077" s="3">
        <v>9.76</v>
      </c>
      <c r="G1077" s="4">
        <v>2545200</v>
      </c>
      <c r="H1077">
        <f t="shared" si="16"/>
        <v>-2.1288183548745957E-2</v>
      </c>
    </row>
    <row r="1078" spans="1:8" x14ac:dyDescent="0.3">
      <c r="A1078" s="1">
        <v>43567</v>
      </c>
      <c r="B1078" s="2">
        <v>9.7899999999999991</v>
      </c>
      <c r="C1078" s="2">
        <v>9.83</v>
      </c>
      <c r="D1078" s="2">
        <v>9.2899999999999991</v>
      </c>
      <c r="E1078" s="2">
        <v>9.32</v>
      </c>
      <c r="F1078" s="3">
        <v>9.32</v>
      </c>
      <c r="G1078" s="4">
        <v>4778500</v>
      </c>
      <c r="H1078">
        <f t="shared" si="16"/>
        <v>-4.6129771727501295E-2</v>
      </c>
    </row>
    <row r="1079" spans="1:8" x14ac:dyDescent="0.3">
      <c r="A1079" s="1">
        <v>43570</v>
      </c>
      <c r="B1079" s="2">
        <v>9.27</v>
      </c>
      <c r="C1079" s="2">
        <v>9.35</v>
      </c>
      <c r="D1079" s="2">
        <v>8.81</v>
      </c>
      <c r="E1079" s="2">
        <v>8.94</v>
      </c>
      <c r="F1079" s="3">
        <v>8.94</v>
      </c>
      <c r="G1079" s="4">
        <v>5527400</v>
      </c>
      <c r="H1079">
        <f t="shared" si="16"/>
        <v>-4.1627039512077094E-2</v>
      </c>
    </row>
    <row r="1080" spans="1:8" x14ac:dyDescent="0.3">
      <c r="A1080" s="1">
        <v>43571</v>
      </c>
      <c r="B1080" s="2">
        <v>9</v>
      </c>
      <c r="C1080" s="2">
        <v>9.15</v>
      </c>
      <c r="D1080" s="2">
        <v>8.9499999999999993</v>
      </c>
      <c r="E1080" s="2">
        <v>9.08</v>
      </c>
      <c r="F1080" s="3">
        <v>9.08</v>
      </c>
      <c r="G1080" s="4">
        <v>4720000</v>
      </c>
      <c r="H1080">
        <f t="shared" si="16"/>
        <v>1.5538603427779166E-2</v>
      </c>
    </row>
    <row r="1081" spans="1:8" x14ac:dyDescent="0.3">
      <c r="A1081" s="1">
        <v>43572</v>
      </c>
      <c r="B1081" s="2">
        <v>9.11</v>
      </c>
      <c r="C1081" s="2">
        <v>9.1199999999999992</v>
      </c>
      <c r="D1081" s="2">
        <v>8.75</v>
      </c>
      <c r="E1081" s="2">
        <v>8.94</v>
      </c>
      <c r="F1081" s="3">
        <v>8.94</v>
      </c>
      <c r="G1081" s="4">
        <v>3921100</v>
      </c>
      <c r="H1081">
        <f t="shared" si="16"/>
        <v>-1.5538603427779161E-2</v>
      </c>
    </row>
    <row r="1082" spans="1:8" x14ac:dyDescent="0.3">
      <c r="A1082" s="1">
        <v>43573</v>
      </c>
      <c r="B1082" s="2">
        <v>8.86</v>
      </c>
      <c r="C1082" s="2">
        <v>9.0299999999999994</v>
      </c>
      <c r="D1082" s="2">
        <v>8.74</v>
      </c>
      <c r="E1082" s="2">
        <v>8.77</v>
      </c>
      <c r="F1082" s="3">
        <v>8.77</v>
      </c>
      <c r="G1082" s="4">
        <v>3814200</v>
      </c>
      <c r="H1082">
        <f t="shared" si="16"/>
        <v>-1.9198782801331055E-2</v>
      </c>
    </row>
    <row r="1083" spans="1:8" x14ac:dyDescent="0.3">
      <c r="A1083" s="1">
        <v>43577</v>
      </c>
      <c r="B1083" s="2">
        <v>8.75</v>
      </c>
      <c r="C1083" s="2">
        <v>8.82</v>
      </c>
      <c r="D1083" s="2">
        <v>8.5299999999999994</v>
      </c>
      <c r="E1083" s="2">
        <v>8.65</v>
      </c>
      <c r="F1083" s="3">
        <v>8.65</v>
      </c>
      <c r="G1083" s="4">
        <v>6278700</v>
      </c>
      <c r="H1083">
        <f t="shared" si="16"/>
        <v>-1.3777485440303621E-2</v>
      </c>
    </row>
    <row r="1084" spans="1:8" x14ac:dyDescent="0.3">
      <c r="A1084" s="1">
        <v>43578</v>
      </c>
      <c r="B1084" s="2">
        <v>8.64</v>
      </c>
      <c r="C1084" s="2">
        <v>8.9700000000000006</v>
      </c>
      <c r="D1084" s="2">
        <v>8.64</v>
      </c>
      <c r="E1084" s="2">
        <v>8.89</v>
      </c>
      <c r="F1084" s="3">
        <v>8.89</v>
      </c>
      <c r="G1084" s="4">
        <v>4452300</v>
      </c>
      <c r="H1084">
        <f t="shared" si="16"/>
        <v>2.7367728582025245E-2</v>
      </c>
    </row>
    <row r="1085" spans="1:8" x14ac:dyDescent="0.3">
      <c r="A1085" s="1">
        <v>43579</v>
      </c>
      <c r="B1085" s="2">
        <v>8.9</v>
      </c>
      <c r="C1085" s="2">
        <v>9.06</v>
      </c>
      <c r="D1085" s="2">
        <v>8.89</v>
      </c>
      <c r="E1085" s="2">
        <v>9.01</v>
      </c>
      <c r="F1085" s="3">
        <v>9.01</v>
      </c>
      <c r="G1085" s="4">
        <v>4106100</v>
      </c>
      <c r="H1085">
        <f t="shared" si="16"/>
        <v>1.3408022094433156E-2</v>
      </c>
    </row>
    <row r="1086" spans="1:8" x14ac:dyDescent="0.3">
      <c r="A1086" s="1">
        <v>43580</v>
      </c>
      <c r="B1086" s="2">
        <v>8.99</v>
      </c>
      <c r="C1086" s="2">
        <v>9</v>
      </c>
      <c r="D1086" s="2">
        <v>8.7200000000000006</v>
      </c>
      <c r="E1086" s="2">
        <v>8.9499999999999993</v>
      </c>
      <c r="F1086" s="3">
        <v>8.9499999999999993</v>
      </c>
      <c r="G1086" s="4">
        <v>2627000</v>
      </c>
      <c r="H1086">
        <f t="shared" si="16"/>
        <v>-6.6815393334826211E-3</v>
      </c>
    </row>
    <row r="1087" spans="1:8" x14ac:dyDescent="0.3">
      <c r="A1087" s="1">
        <v>43581</v>
      </c>
      <c r="B1087" s="2">
        <v>8.93</v>
      </c>
      <c r="C1087" s="2">
        <v>9.0299999999999994</v>
      </c>
      <c r="D1087" s="2">
        <v>8.8800000000000008</v>
      </c>
      <c r="E1087" s="2">
        <v>8.89</v>
      </c>
      <c r="F1087" s="3">
        <v>8.89</v>
      </c>
      <c r="G1087" s="4">
        <v>2306800</v>
      </c>
      <c r="H1087">
        <f t="shared" si="16"/>
        <v>-6.7264827609506738E-3</v>
      </c>
    </row>
    <row r="1088" spans="1:8" x14ac:dyDescent="0.3">
      <c r="A1088" s="1">
        <v>43584</v>
      </c>
      <c r="B1088" s="2">
        <v>8.89</v>
      </c>
      <c r="C1088" s="2">
        <v>8.9</v>
      </c>
      <c r="D1088" s="2">
        <v>8.7100000000000009</v>
      </c>
      <c r="E1088" s="2">
        <v>8.76</v>
      </c>
      <c r="F1088" s="3">
        <v>8.76</v>
      </c>
      <c r="G1088" s="4">
        <v>2548100</v>
      </c>
      <c r="H1088">
        <f t="shared" si="16"/>
        <v>-1.4731144577513258E-2</v>
      </c>
    </row>
    <row r="1089" spans="1:8" x14ac:dyDescent="0.3">
      <c r="A1089" s="1">
        <v>43585</v>
      </c>
      <c r="B1089" s="2">
        <v>8.8000000000000007</v>
      </c>
      <c r="C1089" s="2">
        <v>8.85</v>
      </c>
      <c r="D1089" s="2">
        <v>8.65</v>
      </c>
      <c r="E1089" s="2">
        <v>8.65</v>
      </c>
      <c r="F1089" s="3">
        <v>8.65</v>
      </c>
      <c r="G1089" s="4">
        <v>3207700</v>
      </c>
      <c r="H1089">
        <f t="shared" si="16"/>
        <v>-1.2636584004512019E-2</v>
      </c>
    </row>
    <row r="1090" spans="1:8" x14ac:dyDescent="0.3">
      <c r="A1090" s="1">
        <v>43586</v>
      </c>
      <c r="B1090" s="2">
        <v>8.66</v>
      </c>
      <c r="C1090" s="2">
        <v>8.7899999999999991</v>
      </c>
      <c r="D1090" s="2">
        <v>8.4700000000000006</v>
      </c>
      <c r="E1090" s="2">
        <v>8.51</v>
      </c>
      <c r="F1090" s="3">
        <v>8.51</v>
      </c>
      <c r="G1090" s="4">
        <v>3538900</v>
      </c>
      <c r="H1090">
        <f t="shared" si="16"/>
        <v>-1.6317378358505292E-2</v>
      </c>
    </row>
    <row r="1091" spans="1:8" x14ac:dyDescent="0.3">
      <c r="A1091" s="1">
        <v>43587</v>
      </c>
      <c r="B1091" s="2">
        <v>8.51</v>
      </c>
      <c r="C1091" s="2">
        <v>8.83</v>
      </c>
      <c r="D1091" s="2">
        <v>8.51</v>
      </c>
      <c r="E1091" s="2">
        <v>8.77</v>
      </c>
      <c r="F1091" s="3">
        <v>8.77</v>
      </c>
      <c r="G1091" s="4">
        <v>3116900</v>
      </c>
      <c r="H1091">
        <f t="shared" si="16"/>
        <v>3.0094863798808828E-2</v>
      </c>
    </row>
    <row r="1092" spans="1:8" x14ac:dyDescent="0.3">
      <c r="A1092" s="1">
        <v>43588</v>
      </c>
      <c r="B1092" s="2">
        <v>8.81</v>
      </c>
      <c r="C1092" s="2">
        <v>8.99</v>
      </c>
      <c r="D1092" s="2">
        <v>8.77</v>
      </c>
      <c r="E1092" s="2">
        <v>8.9700000000000006</v>
      </c>
      <c r="F1092" s="3">
        <v>8.9700000000000006</v>
      </c>
      <c r="G1092" s="4">
        <v>2179600</v>
      </c>
      <c r="H1092">
        <f t="shared" ref="H1092:H1155" si="17">LN(E1092/E1091)</f>
        <v>2.2548869686613283E-2</v>
      </c>
    </row>
    <row r="1093" spans="1:8" x14ac:dyDescent="0.3">
      <c r="A1093" s="1">
        <v>43591</v>
      </c>
      <c r="B1093" s="2">
        <v>8.85</v>
      </c>
      <c r="C1093" s="2">
        <v>8.92</v>
      </c>
      <c r="D1093" s="2">
        <v>8.66</v>
      </c>
      <c r="E1093" s="2">
        <v>8.85</v>
      </c>
      <c r="F1093" s="3">
        <v>8.85</v>
      </c>
      <c r="G1093" s="4">
        <v>2406200</v>
      </c>
      <c r="H1093">
        <f t="shared" si="17"/>
        <v>-1.3468217050866704E-2</v>
      </c>
    </row>
    <row r="1094" spans="1:8" x14ac:dyDescent="0.3">
      <c r="A1094" s="1">
        <v>43592</v>
      </c>
      <c r="B1094" s="2">
        <v>8.77</v>
      </c>
      <c r="C1094" s="2">
        <v>8.92</v>
      </c>
      <c r="D1094" s="2">
        <v>8.69</v>
      </c>
      <c r="E1094" s="2">
        <v>8.77</v>
      </c>
      <c r="F1094" s="3">
        <v>8.77</v>
      </c>
      <c r="G1094" s="4">
        <v>2591600</v>
      </c>
      <c r="H1094">
        <f t="shared" si="17"/>
        <v>-9.0806526357464813E-3</v>
      </c>
    </row>
    <row r="1095" spans="1:8" x14ac:dyDescent="0.3">
      <c r="A1095" s="1">
        <v>43593</v>
      </c>
      <c r="B1095" s="2">
        <v>8.75</v>
      </c>
      <c r="C1095" s="2">
        <v>8.85</v>
      </c>
      <c r="D1095" s="2">
        <v>8.65</v>
      </c>
      <c r="E1095" s="2">
        <v>8.69</v>
      </c>
      <c r="F1095" s="3">
        <v>8.69</v>
      </c>
      <c r="G1095" s="4">
        <v>2062400</v>
      </c>
      <c r="H1095">
        <f t="shared" si="17"/>
        <v>-9.1638671067909745E-3</v>
      </c>
    </row>
    <row r="1096" spans="1:8" x14ac:dyDescent="0.3">
      <c r="A1096" s="1">
        <v>43594</v>
      </c>
      <c r="B1096" s="2">
        <v>8.6</v>
      </c>
      <c r="C1096" s="2">
        <v>8.65</v>
      </c>
      <c r="D1096" s="2">
        <v>8.48</v>
      </c>
      <c r="E1096" s="2">
        <v>8.52</v>
      </c>
      <c r="F1096" s="3">
        <v>8.52</v>
      </c>
      <c r="G1096" s="4">
        <v>2339500</v>
      </c>
      <c r="H1096">
        <f t="shared" si="17"/>
        <v>-1.9756598436076269E-2</v>
      </c>
    </row>
    <row r="1097" spans="1:8" x14ac:dyDescent="0.3">
      <c r="A1097" s="1">
        <v>43595</v>
      </c>
      <c r="B1097" s="2">
        <v>8.52</v>
      </c>
      <c r="C1097" s="2">
        <v>8.58</v>
      </c>
      <c r="D1097" s="2">
        <v>8.36</v>
      </c>
      <c r="E1097" s="2">
        <v>8.48</v>
      </c>
      <c r="F1097" s="3">
        <v>8.48</v>
      </c>
      <c r="G1097" s="4">
        <v>2301500</v>
      </c>
      <c r="H1097">
        <f t="shared" si="17"/>
        <v>-4.7058910374125048E-3</v>
      </c>
    </row>
    <row r="1098" spans="1:8" x14ac:dyDescent="0.3">
      <c r="A1098" s="1">
        <v>43598</v>
      </c>
      <c r="B1098" s="2">
        <v>8.33</v>
      </c>
      <c r="C1098" s="2">
        <v>8.3699999999999992</v>
      </c>
      <c r="D1098" s="2">
        <v>8.17</v>
      </c>
      <c r="E1098" s="2">
        <v>8.26</v>
      </c>
      <c r="F1098" s="3">
        <v>8.26</v>
      </c>
      <c r="G1098" s="4">
        <v>3043200</v>
      </c>
      <c r="H1098">
        <f t="shared" si="17"/>
        <v>-2.6285862270925085E-2</v>
      </c>
    </row>
    <row r="1099" spans="1:8" x14ac:dyDescent="0.3">
      <c r="A1099" s="1">
        <v>43599</v>
      </c>
      <c r="B1099" s="2">
        <v>8.32</v>
      </c>
      <c r="C1099" s="2">
        <v>8.5500000000000007</v>
      </c>
      <c r="D1099" s="2">
        <v>8.24</v>
      </c>
      <c r="E1099" s="2">
        <v>8.5299999999999994</v>
      </c>
      <c r="F1099" s="3">
        <v>8.5299999999999994</v>
      </c>
      <c r="G1099" s="4">
        <v>2612900</v>
      </c>
      <c r="H1099">
        <f t="shared" si="17"/>
        <v>3.2164773970701062E-2</v>
      </c>
    </row>
    <row r="1100" spans="1:8" x14ac:dyDescent="0.3">
      <c r="A1100" s="1">
        <v>43600</v>
      </c>
      <c r="B1100" s="2">
        <v>8.44</v>
      </c>
      <c r="C1100" s="2">
        <v>8.7100000000000009</v>
      </c>
      <c r="D1100" s="2">
        <v>8.44</v>
      </c>
      <c r="E1100" s="2">
        <v>8.69</v>
      </c>
      <c r="F1100" s="3">
        <v>8.69</v>
      </c>
      <c r="G1100" s="4">
        <v>2253500</v>
      </c>
      <c r="H1100">
        <f t="shared" si="17"/>
        <v>1.85835777737129E-2</v>
      </c>
    </row>
    <row r="1101" spans="1:8" x14ac:dyDescent="0.3">
      <c r="A1101" s="1">
        <v>43601</v>
      </c>
      <c r="B1101" s="2">
        <v>8.74</v>
      </c>
      <c r="C1101" s="2">
        <v>8.84</v>
      </c>
      <c r="D1101" s="2">
        <v>8.64</v>
      </c>
      <c r="E1101" s="2">
        <v>8.67</v>
      </c>
      <c r="F1101" s="3">
        <v>8.67</v>
      </c>
      <c r="G1101" s="4">
        <v>1751000</v>
      </c>
      <c r="H1101">
        <f t="shared" si="17"/>
        <v>-2.3041484848501884E-3</v>
      </c>
    </row>
    <row r="1102" spans="1:8" x14ac:dyDescent="0.3">
      <c r="A1102" s="1">
        <v>43602</v>
      </c>
      <c r="B1102" s="2">
        <v>8.5399999999999991</v>
      </c>
      <c r="C1102" s="2">
        <v>8.7799999999999994</v>
      </c>
      <c r="D1102" s="2">
        <v>8.5399999999999991</v>
      </c>
      <c r="E1102" s="2">
        <v>8.61</v>
      </c>
      <c r="F1102" s="3">
        <v>8.61</v>
      </c>
      <c r="G1102" s="4">
        <v>1967300</v>
      </c>
      <c r="H1102">
        <f t="shared" si="17"/>
        <v>-6.944472352811158E-3</v>
      </c>
    </row>
    <row r="1103" spans="1:8" x14ac:dyDescent="0.3">
      <c r="A1103" s="1">
        <v>43605</v>
      </c>
      <c r="B1103" s="2">
        <v>8.4600000000000009</v>
      </c>
      <c r="C1103" s="2">
        <v>8.52</v>
      </c>
      <c r="D1103" s="2">
        <v>7.98</v>
      </c>
      <c r="E1103" s="2">
        <v>8.06</v>
      </c>
      <c r="F1103" s="3">
        <v>8.06</v>
      </c>
      <c r="G1103" s="4">
        <v>5043600</v>
      </c>
      <c r="H1103">
        <f t="shared" si="17"/>
        <v>-6.6010761921102418E-2</v>
      </c>
    </row>
    <row r="1104" spans="1:8" x14ac:dyDescent="0.3">
      <c r="A1104" s="1">
        <v>43606</v>
      </c>
      <c r="B1104" s="2">
        <v>8.07</v>
      </c>
      <c r="C1104" s="2">
        <v>8.14</v>
      </c>
      <c r="D1104" s="2">
        <v>7.89</v>
      </c>
      <c r="E1104" s="2">
        <v>8.1300000000000008</v>
      </c>
      <c r="F1104" s="3">
        <v>8.1300000000000008</v>
      </c>
      <c r="G1104" s="4">
        <v>5697100</v>
      </c>
      <c r="H1104">
        <f t="shared" si="17"/>
        <v>8.6473670411823262E-3</v>
      </c>
    </row>
    <row r="1105" spans="1:8" x14ac:dyDescent="0.3">
      <c r="A1105" s="1">
        <v>43607</v>
      </c>
      <c r="B1105" s="2">
        <v>8.07</v>
      </c>
      <c r="C1105" s="2">
        <v>8.08</v>
      </c>
      <c r="D1105" s="2">
        <v>7.76</v>
      </c>
      <c r="E1105" s="2">
        <v>7.9</v>
      </c>
      <c r="F1105" s="3">
        <v>7.9</v>
      </c>
      <c r="G1105" s="4">
        <v>4516100</v>
      </c>
      <c r="H1105">
        <f t="shared" si="17"/>
        <v>-2.8698164086743475E-2</v>
      </c>
    </row>
    <row r="1106" spans="1:8" x14ac:dyDescent="0.3">
      <c r="A1106" s="1">
        <v>43608</v>
      </c>
      <c r="B1106" s="2">
        <v>7.84</v>
      </c>
      <c r="C1106" s="2">
        <v>7.86</v>
      </c>
      <c r="D1106" s="2">
        <v>7.67</v>
      </c>
      <c r="E1106" s="2">
        <v>7.7</v>
      </c>
      <c r="F1106" s="3">
        <v>7.7</v>
      </c>
      <c r="G1106" s="4">
        <v>3919500</v>
      </c>
      <c r="H1106">
        <f t="shared" si="17"/>
        <v>-2.564243061333767E-2</v>
      </c>
    </row>
    <row r="1107" spans="1:8" x14ac:dyDescent="0.3">
      <c r="A1107" s="1">
        <v>43609</v>
      </c>
      <c r="B1107" s="2">
        <v>7.71</v>
      </c>
      <c r="C1107" s="2">
        <v>7.86</v>
      </c>
      <c r="D1107" s="2">
        <v>7.71</v>
      </c>
      <c r="E1107" s="2">
        <v>7.82</v>
      </c>
      <c r="F1107" s="3">
        <v>7.82</v>
      </c>
      <c r="G1107" s="4">
        <v>2542100</v>
      </c>
      <c r="H1107">
        <f t="shared" si="17"/>
        <v>1.5464225697581553E-2</v>
      </c>
    </row>
    <row r="1108" spans="1:8" x14ac:dyDescent="0.3">
      <c r="A1108" s="1">
        <v>43613</v>
      </c>
      <c r="B1108" s="2">
        <v>7.85</v>
      </c>
      <c r="C1108" s="2">
        <v>7.99</v>
      </c>
      <c r="D1108" s="2">
        <v>7.74</v>
      </c>
      <c r="E1108" s="2">
        <v>7.74</v>
      </c>
      <c r="F1108" s="3">
        <v>7.74</v>
      </c>
      <c r="G1108" s="4">
        <v>2732800</v>
      </c>
      <c r="H1108">
        <f t="shared" si="17"/>
        <v>-1.0282866955583919E-2</v>
      </c>
    </row>
    <row r="1109" spans="1:8" x14ac:dyDescent="0.3">
      <c r="A1109" s="1">
        <v>43614</v>
      </c>
      <c r="B1109" s="2">
        <v>7.73</v>
      </c>
      <c r="C1109" s="2">
        <v>7.75</v>
      </c>
      <c r="D1109" s="2">
        <v>7.39</v>
      </c>
      <c r="E1109" s="2">
        <v>7.57</v>
      </c>
      <c r="F1109" s="3">
        <v>7.57</v>
      </c>
      <c r="G1109" s="4">
        <v>4127700</v>
      </c>
      <c r="H1109">
        <f t="shared" si="17"/>
        <v>-2.2208620152278341E-2</v>
      </c>
    </row>
    <row r="1110" spans="1:8" x14ac:dyDescent="0.3">
      <c r="A1110" s="1">
        <v>43615</v>
      </c>
      <c r="B1110" s="2">
        <v>7.57</v>
      </c>
      <c r="C1110" s="2">
        <v>7.7</v>
      </c>
      <c r="D1110" s="2">
        <v>7.53</v>
      </c>
      <c r="E1110" s="2">
        <v>7.6</v>
      </c>
      <c r="F1110" s="3">
        <v>7.6</v>
      </c>
      <c r="G1110" s="4">
        <v>2695200</v>
      </c>
      <c r="H1110">
        <f t="shared" si="17"/>
        <v>3.9551798429277932E-3</v>
      </c>
    </row>
    <row r="1111" spans="1:8" x14ac:dyDescent="0.3">
      <c r="A1111" s="1">
        <v>43616</v>
      </c>
      <c r="B1111" s="2">
        <v>7.47</v>
      </c>
      <c r="C1111" s="2">
        <v>7.66</v>
      </c>
      <c r="D1111" s="2">
        <v>7.32</v>
      </c>
      <c r="E1111" s="2">
        <v>7.58</v>
      </c>
      <c r="F1111" s="3">
        <v>7.58</v>
      </c>
      <c r="G1111" s="4">
        <v>3983100</v>
      </c>
      <c r="H1111">
        <f t="shared" si="17"/>
        <v>-2.6350476380050023E-3</v>
      </c>
    </row>
    <row r="1112" spans="1:8" x14ac:dyDescent="0.3">
      <c r="A1112" s="1">
        <v>43619</v>
      </c>
      <c r="B1112" s="2">
        <v>7.58</v>
      </c>
      <c r="C1112" s="2">
        <v>7.65</v>
      </c>
      <c r="D1112" s="2">
        <v>7.42</v>
      </c>
      <c r="E1112" s="2">
        <v>7.47</v>
      </c>
      <c r="F1112" s="3">
        <v>7.47</v>
      </c>
      <c r="G1112" s="4">
        <v>5229100</v>
      </c>
      <c r="H1112">
        <f t="shared" si="17"/>
        <v>-1.461820050955439E-2</v>
      </c>
    </row>
    <row r="1113" spans="1:8" x14ac:dyDescent="0.3">
      <c r="A1113" s="1">
        <v>43620</v>
      </c>
      <c r="B1113" s="2">
        <v>7.58</v>
      </c>
      <c r="C1113" s="2">
        <v>7.85</v>
      </c>
      <c r="D1113" s="2">
        <v>7.52</v>
      </c>
      <c r="E1113" s="2">
        <v>7.82</v>
      </c>
      <c r="F1113" s="3">
        <v>7.82</v>
      </c>
      <c r="G1113" s="4">
        <v>10430100</v>
      </c>
      <c r="H1113">
        <f t="shared" si="17"/>
        <v>4.578955541249391E-2</v>
      </c>
    </row>
    <row r="1114" spans="1:8" x14ac:dyDescent="0.3">
      <c r="A1114" s="1">
        <v>43621</v>
      </c>
      <c r="B1114" s="2">
        <v>5.49</v>
      </c>
      <c r="C1114" s="2">
        <v>5.59</v>
      </c>
      <c r="D1114" s="2">
        <v>4.71</v>
      </c>
      <c r="E1114" s="2">
        <v>5.04</v>
      </c>
      <c r="F1114" s="3">
        <v>5.04</v>
      </c>
      <c r="G1114" s="4">
        <v>39354200</v>
      </c>
      <c r="H1114">
        <f t="shared" si="17"/>
        <v>-0.43927847247394247</v>
      </c>
    </row>
    <row r="1115" spans="1:8" x14ac:dyDescent="0.3">
      <c r="A1115" s="1">
        <v>43622</v>
      </c>
      <c r="B1115" s="2">
        <v>4.9800000000000004</v>
      </c>
      <c r="C1115" s="2">
        <v>5.13</v>
      </c>
      <c r="D1115" s="2">
        <v>4.84</v>
      </c>
      <c r="E1115" s="2">
        <v>5.13</v>
      </c>
      <c r="F1115" s="3">
        <v>5.13</v>
      </c>
      <c r="G1115" s="4">
        <v>13558000</v>
      </c>
      <c r="H1115">
        <f t="shared" si="17"/>
        <v>1.7699577099400857E-2</v>
      </c>
    </row>
    <row r="1116" spans="1:8" x14ac:dyDescent="0.3">
      <c r="A1116" s="1">
        <v>43623</v>
      </c>
      <c r="B1116" s="2">
        <v>5.13</v>
      </c>
      <c r="C1116" s="2">
        <v>5.23</v>
      </c>
      <c r="D1116" s="2">
        <v>4.99</v>
      </c>
      <c r="E1116" s="2">
        <v>5.0199999999999996</v>
      </c>
      <c r="F1116" s="3">
        <v>5.0199999999999996</v>
      </c>
      <c r="G1116" s="4">
        <v>10591300</v>
      </c>
      <c r="H1116">
        <f t="shared" si="17"/>
        <v>-2.1675725479040394E-2</v>
      </c>
    </row>
    <row r="1117" spans="1:8" x14ac:dyDescent="0.3">
      <c r="A1117" s="1">
        <v>43626</v>
      </c>
      <c r="B1117" s="2">
        <v>5.37</v>
      </c>
      <c r="C1117" s="2">
        <v>5.55</v>
      </c>
      <c r="D1117" s="2">
        <v>5.29</v>
      </c>
      <c r="E1117" s="2">
        <v>5.44</v>
      </c>
      <c r="F1117" s="3">
        <v>5.44</v>
      </c>
      <c r="G1117" s="4">
        <v>18926500</v>
      </c>
      <c r="H1117">
        <f t="shared" si="17"/>
        <v>8.0349127164213566E-2</v>
      </c>
    </row>
    <row r="1118" spans="1:8" x14ac:dyDescent="0.3">
      <c r="A1118" s="1">
        <v>43627</v>
      </c>
      <c r="B1118" s="2">
        <v>5.53</v>
      </c>
      <c r="C1118" s="2">
        <v>5.85</v>
      </c>
      <c r="D1118" s="2">
        <v>5.49</v>
      </c>
      <c r="E1118" s="2">
        <v>5.72</v>
      </c>
      <c r="F1118" s="3">
        <v>5.72</v>
      </c>
      <c r="G1118" s="4">
        <v>13423800</v>
      </c>
      <c r="H1118">
        <f t="shared" si="17"/>
        <v>5.01897445238551E-2</v>
      </c>
    </row>
    <row r="1119" spans="1:8" x14ac:dyDescent="0.3">
      <c r="A1119" s="1">
        <v>43628</v>
      </c>
      <c r="B1119" s="2">
        <v>5.68</v>
      </c>
      <c r="C1119" s="2">
        <v>5.8</v>
      </c>
      <c r="D1119" s="2">
        <v>5.5</v>
      </c>
      <c r="E1119" s="2">
        <v>5.5</v>
      </c>
      <c r="F1119" s="3">
        <v>5.5</v>
      </c>
      <c r="G1119" s="4">
        <v>4914300</v>
      </c>
      <c r="H1119">
        <f t="shared" si="17"/>
        <v>-3.9220713153281267E-2</v>
      </c>
    </row>
    <row r="1120" spans="1:8" x14ac:dyDescent="0.3">
      <c r="A1120" s="1">
        <v>43629</v>
      </c>
      <c r="B1120" s="2">
        <v>5.55</v>
      </c>
      <c r="C1120" s="2">
        <v>5.73</v>
      </c>
      <c r="D1120" s="2">
        <v>5.49</v>
      </c>
      <c r="E1120" s="2">
        <v>5.7</v>
      </c>
      <c r="F1120" s="3">
        <v>5.7</v>
      </c>
      <c r="G1120" s="4">
        <v>5840800</v>
      </c>
      <c r="H1120">
        <f t="shared" si="17"/>
        <v>3.5718082602079246E-2</v>
      </c>
    </row>
    <row r="1121" spans="1:8" x14ac:dyDescent="0.3">
      <c r="A1121" s="1">
        <v>43630</v>
      </c>
      <c r="B1121" s="2">
        <v>5.7</v>
      </c>
      <c r="C1121" s="2">
        <v>5.83</v>
      </c>
      <c r="D1121" s="2">
        <v>5.61</v>
      </c>
      <c r="E1121" s="2">
        <v>5.63</v>
      </c>
      <c r="F1121" s="3">
        <v>5.63</v>
      </c>
      <c r="G1121" s="4">
        <v>5304600</v>
      </c>
      <c r="H1121">
        <f t="shared" si="17"/>
        <v>-1.2356732688905492E-2</v>
      </c>
    </row>
    <row r="1122" spans="1:8" x14ac:dyDescent="0.3">
      <c r="A1122" s="1">
        <v>43633</v>
      </c>
      <c r="B1122" s="2">
        <v>5.63</v>
      </c>
      <c r="C1122" s="2">
        <v>5.81</v>
      </c>
      <c r="D1122" s="2">
        <v>5.6</v>
      </c>
      <c r="E1122" s="2">
        <v>5.7</v>
      </c>
      <c r="F1122" s="3">
        <v>5.7</v>
      </c>
      <c r="G1122" s="4">
        <v>3686500</v>
      </c>
      <c r="H1122">
        <f t="shared" si="17"/>
        <v>1.2356732688905428E-2</v>
      </c>
    </row>
    <row r="1123" spans="1:8" x14ac:dyDescent="0.3">
      <c r="A1123" s="1">
        <v>43634</v>
      </c>
      <c r="B1123" s="2">
        <v>5.71</v>
      </c>
      <c r="C1123" s="2">
        <v>5.83</v>
      </c>
      <c r="D1123" s="2">
        <v>5.67</v>
      </c>
      <c r="E1123" s="2">
        <v>5.73</v>
      </c>
      <c r="F1123" s="3">
        <v>5.73</v>
      </c>
      <c r="G1123" s="4">
        <v>4070400</v>
      </c>
      <c r="H1123">
        <f t="shared" si="17"/>
        <v>5.249355886143745E-3</v>
      </c>
    </row>
    <row r="1124" spans="1:8" x14ac:dyDescent="0.3">
      <c r="A1124" s="1">
        <v>43635</v>
      </c>
      <c r="B1124" s="2">
        <v>5.75</v>
      </c>
      <c r="C1124" s="2">
        <v>5.75</v>
      </c>
      <c r="D1124" s="2">
        <v>5.61</v>
      </c>
      <c r="E1124" s="2">
        <v>5.63</v>
      </c>
      <c r="F1124" s="3">
        <v>5.63</v>
      </c>
      <c r="G1124" s="4">
        <v>2973300</v>
      </c>
      <c r="H1124">
        <f t="shared" si="17"/>
        <v>-1.760608857504924E-2</v>
      </c>
    </row>
    <row r="1125" spans="1:8" x14ac:dyDescent="0.3">
      <c r="A1125" s="1">
        <v>43636</v>
      </c>
      <c r="B1125" s="2">
        <v>5.66</v>
      </c>
      <c r="C1125" s="2">
        <v>5.69</v>
      </c>
      <c r="D1125" s="2">
        <v>5.52</v>
      </c>
      <c r="E1125" s="2">
        <v>5.53</v>
      </c>
      <c r="F1125" s="3">
        <v>5.53</v>
      </c>
      <c r="G1125" s="4">
        <v>3933800</v>
      </c>
      <c r="H1125">
        <f t="shared" si="17"/>
        <v>-1.7921626617355562E-2</v>
      </c>
    </row>
    <row r="1126" spans="1:8" x14ac:dyDescent="0.3">
      <c r="A1126" s="1">
        <v>43637</v>
      </c>
      <c r="B1126" s="2">
        <v>5.52</v>
      </c>
      <c r="C1126" s="2">
        <v>5.52</v>
      </c>
      <c r="D1126" s="2">
        <v>5.31</v>
      </c>
      <c r="E1126" s="2">
        <v>5.42</v>
      </c>
      <c r="F1126" s="3">
        <v>5.42</v>
      </c>
      <c r="G1126" s="4">
        <v>8954300</v>
      </c>
      <c r="H1126">
        <f t="shared" si="17"/>
        <v>-2.0092000082688601E-2</v>
      </c>
    </row>
    <row r="1127" spans="1:8" x14ac:dyDescent="0.3">
      <c r="A1127" s="1">
        <v>43640</v>
      </c>
      <c r="B1127" s="2">
        <v>5.41</v>
      </c>
      <c r="C1127" s="2">
        <v>5.47</v>
      </c>
      <c r="D1127" s="2">
        <v>5.28</v>
      </c>
      <c r="E1127" s="2">
        <v>5.37</v>
      </c>
      <c r="F1127" s="3">
        <v>5.37</v>
      </c>
      <c r="G1127" s="4">
        <v>4823300</v>
      </c>
      <c r="H1127">
        <f t="shared" si="17"/>
        <v>-9.2679069307815085E-3</v>
      </c>
    </row>
    <row r="1128" spans="1:8" x14ac:dyDescent="0.3">
      <c r="A1128" s="1">
        <v>43641</v>
      </c>
      <c r="B1128" s="2">
        <v>5.34</v>
      </c>
      <c r="C1128" s="2">
        <v>5.53</v>
      </c>
      <c r="D1128" s="2">
        <v>5.32</v>
      </c>
      <c r="E1128" s="2">
        <v>5.45</v>
      </c>
      <c r="F1128" s="3">
        <v>5.45</v>
      </c>
      <c r="G1128" s="4">
        <v>3085400</v>
      </c>
      <c r="H1128">
        <f t="shared" si="17"/>
        <v>1.4787700154379371E-2</v>
      </c>
    </row>
    <row r="1129" spans="1:8" x14ac:dyDescent="0.3">
      <c r="A1129" s="1">
        <v>43642</v>
      </c>
      <c r="B1129" s="2">
        <v>5.47</v>
      </c>
      <c r="C1129" s="2">
        <v>5.52</v>
      </c>
      <c r="D1129" s="2">
        <v>5.38</v>
      </c>
      <c r="E1129" s="2">
        <v>5.47</v>
      </c>
      <c r="F1129" s="3">
        <v>5.47</v>
      </c>
      <c r="G1129" s="4">
        <v>3551800</v>
      </c>
      <c r="H1129">
        <f t="shared" si="17"/>
        <v>3.6630077587370201E-3</v>
      </c>
    </row>
    <row r="1130" spans="1:8" x14ac:dyDescent="0.3">
      <c r="A1130" s="1">
        <v>43643</v>
      </c>
      <c r="B1130" s="2">
        <v>5.46</v>
      </c>
      <c r="C1130" s="2">
        <v>5.59</v>
      </c>
      <c r="D1130" s="2">
        <v>5.43</v>
      </c>
      <c r="E1130" s="2">
        <v>5.54</v>
      </c>
      <c r="F1130" s="3">
        <v>5.54</v>
      </c>
      <c r="G1130" s="4">
        <v>3756000</v>
      </c>
      <c r="H1130">
        <f t="shared" si="17"/>
        <v>1.2715884325302714E-2</v>
      </c>
    </row>
    <row r="1131" spans="1:8" x14ac:dyDescent="0.3">
      <c r="A1131" s="1">
        <v>43644</v>
      </c>
      <c r="B1131" s="2">
        <v>5.53</v>
      </c>
      <c r="C1131" s="2">
        <v>5.58</v>
      </c>
      <c r="D1131" s="2">
        <v>5.44</v>
      </c>
      <c r="E1131" s="2">
        <v>5.47</v>
      </c>
      <c r="F1131" s="3">
        <v>5.47</v>
      </c>
      <c r="G1131" s="4">
        <v>3896400</v>
      </c>
      <c r="H1131">
        <f t="shared" si="17"/>
        <v>-1.2715884325302674E-2</v>
      </c>
    </row>
    <row r="1132" spans="1:8" x14ac:dyDescent="0.3">
      <c r="A1132" s="1">
        <v>43647</v>
      </c>
      <c r="B1132" s="2">
        <v>5.53</v>
      </c>
      <c r="C1132" s="2">
        <v>5.57</v>
      </c>
      <c r="D1132" s="2">
        <v>5.34</v>
      </c>
      <c r="E1132" s="2">
        <v>5.36</v>
      </c>
      <c r="F1132" s="3">
        <v>5.36</v>
      </c>
      <c r="G1132" s="4">
        <v>4310800</v>
      </c>
      <c r="H1132">
        <f t="shared" si="17"/>
        <v>-2.0314641351179139E-2</v>
      </c>
    </row>
    <row r="1133" spans="1:8" x14ac:dyDescent="0.3">
      <c r="A1133" s="1">
        <v>43648</v>
      </c>
      <c r="B1133" s="2">
        <v>5.35</v>
      </c>
      <c r="C1133" s="2">
        <v>5.45</v>
      </c>
      <c r="D1133" s="2">
        <v>5.32</v>
      </c>
      <c r="E1133" s="2">
        <v>5.38</v>
      </c>
      <c r="F1133" s="3">
        <v>5.38</v>
      </c>
      <c r="G1133" s="4">
        <v>5643500</v>
      </c>
      <c r="H1133">
        <f t="shared" si="17"/>
        <v>3.7243990909822727E-3</v>
      </c>
    </row>
    <row r="1134" spans="1:8" x14ac:dyDescent="0.3">
      <c r="A1134" s="1">
        <v>43649</v>
      </c>
      <c r="B1134" s="2">
        <v>5.41</v>
      </c>
      <c r="C1134" s="2">
        <v>5.43</v>
      </c>
      <c r="D1134" s="2">
        <v>5.27</v>
      </c>
      <c r="E1134" s="2">
        <v>5.31</v>
      </c>
      <c r="F1134" s="3">
        <v>5.31</v>
      </c>
      <c r="G1134" s="4">
        <v>2562100</v>
      </c>
      <c r="H1134">
        <f t="shared" si="17"/>
        <v>-1.309653891984568E-2</v>
      </c>
    </row>
    <row r="1135" spans="1:8" x14ac:dyDescent="0.3">
      <c r="A1135" s="1">
        <v>43651</v>
      </c>
      <c r="B1135" s="2">
        <v>5.3</v>
      </c>
      <c r="C1135" s="2">
        <v>5.64</v>
      </c>
      <c r="D1135" s="2">
        <v>5.27</v>
      </c>
      <c r="E1135" s="2">
        <v>5.52</v>
      </c>
      <c r="F1135" s="3">
        <v>5.52</v>
      </c>
      <c r="G1135" s="4">
        <v>12894600</v>
      </c>
      <c r="H1135">
        <f t="shared" si="17"/>
        <v>3.8786025035156449E-2</v>
      </c>
    </row>
    <row r="1136" spans="1:8" x14ac:dyDescent="0.3">
      <c r="A1136" s="1">
        <v>43654</v>
      </c>
      <c r="B1136" s="2">
        <v>5.5</v>
      </c>
      <c r="C1136" s="2">
        <v>5.53</v>
      </c>
      <c r="D1136" s="2">
        <v>5.42</v>
      </c>
      <c r="E1136" s="2">
        <v>5.45</v>
      </c>
      <c r="F1136" s="3">
        <v>5.45</v>
      </c>
      <c r="G1136" s="4">
        <v>6592700</v>
      </c>
      <c r="H1136">
        <f t="shared" si="17"/>
        <v>-1.276225161385118E-2</v>
      </c>
    </row>
    <row r="1137" spans="1:8" x14ac:dyDescent="0.3">
      <c r="A1137" s="1">
        <v>43655</v>
      </c>
      <c r="B1137" s="2">
        <v>5.48</v>
      </c>
      <c r="C1137" s="2">
        <v>5.55</v>
      </c>
      <c r="D1137" s="2">
        <v>5.28</v>
      </c>
      <c r="E1137" s="2">
        <v>5.31</v>
      </c>
      <c r="F1137" s="3">
        <v>5.31</v>
      </c>
      <c r="G1137" s="4">
        <v>11721900</v>
      </c>
      <c r="H1137">
        <f t="shared" si="17"/>
        <v>-2.6023773421305359E-2</v>
      </c>
    </row>
    <row r="1138" spans="1:8" x14ac:dyDescent="0.3">
      <c r="A1138" s="1">
        <v>43656</v>
      </c>
      <c r="B1138" s="2">
        <v>5.35</v>
      </c>
      <c r="C1138" s="2">
        <v>5.37</v>
      </c>
      <c r="D1138" s="2">
        <v>5.17</v>
      </c>
      <c r="E1138" s="2">
        <v>5.18</v>
      </c>
      <c r="F1138" s="3">
        <v>5.18</v>
      </c>
      <c r="G1138" s="4">
        <v>10853300</v>
      </c>
      <c r="H1138">
        <f t="shared" si="17"/>
        <v>-2.478677898245581E-2</v>
      </c>
    </row>
    <row r="1139" spans="1:8" x14ac:dyDescent="0.3">
      <c r="A1139" s="1">
        <v>43657</v>
      </c>
      <c r="B1139" s="2">
        <v>4.9800000000000004</v>
      </c>
      <c r="C1139" s="2">
        <v>5.01</v>
      </c>
      <c r="D1139" s="2">
        <v>4.7300000000000004</v>
      </c>
      <c r="E1139" s="2">
        <v>4.84</v>
      </c>
      <c r="F1139" s="3">
        <v>4.84</v>
      </c>
      <c r="G1139" s="4">
        <v>16778200</v>
      </c>
      <c r="H1139">
        <f t="shared" si="17"/>
        <v>-6.7890335542851329E-2</v>
      </c>
    </row>
    <row r="1140" spans="1:8" x14ac:dyDescent="0.3">
      <c r="A1140" s="1">
        <v>43658</v>
      </c>
      <c r="B1140" s="2">
        <v>4.8600000000000003</v>
      </c>
      <c r="C1140" s="2">
        <v>4.93</v>
      </c>
      <c r="D1140" s="2">
        <v>4.8099999999999996</v>
      </c>
      <c r="E1140" s="2">
        <v>4.91</v>
      </c>
      <c r="F1140" s="3">
        <v>4.91</v>
      </c>
      <c r="G1140" s="4">
        <v>4392200</v>
      </c>
      <c r="H1140">
        <f t="shared" si="17"/>
        <v>1.435922107788888E-2</v>
      </c>
    </row>
    <row r="1141" spans="1:8" x14ac:dyDescent="0.3">
      <c r="A1141" s="1">
        <v>43661</v>
      </c>
      <c r="B1141" s="2">
        <v>4.87</v>
      </c>
      <c r="C1141" s="2">
        <v>4.8899999999999997</v>
      </c>
      <c r="D1141" s="2">
        <v>4.75</v>
      </c>
      <c r="E1141" s="2">
        <v>4.75</v>
      </c>
      <c r="F1141" s="3">
        <v>4.75</v>
      </c>
      <c r="G1141" s="4">
        <v>3068400</v>
      </c>
      <c r="H1141">
        <f t="shared" si="17"/>
        <v>-3.3129323759879446E-2</v>
      </c>
    </row>
    <row r="1142" spans="1:8" x14ac:dyDescent="0.3">
      <c r="A1142" s="1">
        <v>43662</v>
      </c>
      <c r="B1142" s="2">
        <v>4.76</v>
      </c>
      <c r="C1142" s="2">
        <v>4.8099999999999996</v>
      </c>
      <c r="D1142" s="2">
        <v>4.63</v>
      </c>
      <c r="E1142" s="2">
        <v>4.63</v>
      </c>
      <c r="F1142" s="3">
        <v>4.63</v>
      </c>
      <c r="G1142" s="4">
        <v>5970000</v>
      </c>
      <c r="H1142">
        <f t="shared" si="17"/>
        <v>-2.5587749948407169E-2</v>
      </c>
    </row>
    <row r="1143" spans="1:8" x14ac:dyDescent="0.3">
      <c r="A1143" s="1">
        <v>43663</v>
      </c>
      <c r="B1143" s="2">
        <v>4.63</v>
      </c>
      <c r="C1143" s="2">
        <v>4.6399999999999997</v>
      </c>
      <c r="D1143" s="2">
        <v>4.33</v>
      </c>
      <c r="E1143" s="2">
        <v>4.38</v>
      </c>
      <c r="F1143" s="3">
        <v>4.38</v>
      </c>
      <c r="G1143" s="4">
        <v>7643100</v>
      </c>
      <c r="H1143">
        <f t="shared" si="17"/>
        <v>-5.5508143709787926E-2</v>
      </c>
    </row>
    <row r="1144" spans="1:8" x14ac:dyDescent="0.3">
      <c r="A1144" s="1">
        <v>43664</v>
      </c>
      <c r="B1144" s="2">
        <v>4.3899999999999997</v>
      </c>
      <c r="C1144" s="2">
        <v>4.42</v>
      </c>
      <c r="D1144" s="2">
        <v>4.12</v>
      </c>
      <c r="E1144" s="2">
        <v>4.2</v>
      </c>
      <c r="F1144" s="3">
        <v>4.2</v>
      </c>
      <c r="G1144" s="4">
        <v>8585700</v>
      </c>
      <c r="H1144">
        <f t="shared" si="17"/>
        <v>-4.1964199099032082E-2</v>
      </c>
    </row>
    <row r="1145" spans="1:8" x14ac:dyDescent="0.3">
      <c r="A1145" s="1">
        <v>43665</v>
      </c>
      <c r="B1145" s="2">
        <v>4.22</v>
      </c>
      <c r="C1145" s="2">
        <v>4.42</v>
      </c>
      <c r="D1145" s="2">
        <v>4.22</v>
      </c>
      <c r="E1145" s="2">
        <v>4.32</v>
      </c>
      <c r="F1145" s="3">
        <v>4.32</v>
      </c>
      <c r="G1145" s="4">
        <v>10946500</v>
      </c>
      <c r="H1145">
        <f t="shared" si="17"/>
        <v>2.8170876966696439E-2</v>
      </c>
    </row>
    <row r="1146" spans="1:8" x14ac:dyDescent="0.3">
      <c r="A1146" s="1">
        <v>43668</v>
      </c>
      <c r="B1146" s="2">
        <v>4.33</v>
      </c>
      <c r="C1146" s="2">
        <v>4.4000000000000004</v>
      </c>
      <c r="D1146" s="2">
        <v>4.12</v>
      </c>
      <c r="E1146" s="2">
        <v>4.1399999999999997</v>
      </c>
      <c r="F1146" s="3">
        <v>4.1399999999999997</v>
      </c>
      <c r="G1146" s="4">
        <v>5488700</v>
      </c>
      <c r="H1146">
        <f t="shared" si="17"/>
        <v>-4.2559614418796125E-2</v>
      </c>
    </row>
    <row r="1147" spans="1:8" x14ac:dyDescent="0.3">
      <c r="A1147" s="1">
        <v>43669</v>
      </c>
      <c r="B1147" s="2">
        <v>4.1500000000000004</v>
      </c>
      <c r="C1147" s="2">
        <v>4.2</v>
      </c>
      <c r="D1147" s="2">
        <v>3.98</v>
      </c>
      <c r="E1147" s="2">
        <v>4.09</v>
      </c>
      <c r="F1147" s="3">
        <v>4.09</v>
      </c>
      <c r="G1147" s="4">
        <v>7703500</v>
      </c>
      <c r="H1147">
        <f t="shared" si="17"/>
        <v>-1.2150817782512579E-2</v>
      </c>
    </row>
    <row r="1148" spans="1:8" x14ac:dyDescent="0.3">
      <c r="A1148" s="1">
        <v>43670</v>
      </c>
      <c r="B1148" s="2">
        <v>4.08</v>
      </c>
      <c r="C1148" s="2">
        <v>4.2</v>
      </c>
      <c r="D1148" s="2">
        <v>4.05</v>
      </c>
      <c r="E1148" s="2">
        <v>4.08</v>
      </c>
      <c r="F1148" s="3">
        <v>4.08</v>
      </c>
      <c r="G1148" s="4">
        <v>6020600</v>
      </c>
      <c r="H1148">
        <f t="shared" si="17"/>
        <v>-2.4479816386400017E-3</v>
      </c>
    </row>
    <row r="1149" spans="1:8" x14ac:dyDescent="0.3">
      <c r="A1149" s="1">
        <v>43671</v>
      </c>
      <c r="B1149" s="2">
        <v>4.0999999999999996</v>
      </c>
      <c r="C1149" s="2">
        <v>4.32</v>
      </c>
      <c r="D1149" s="2">
        <v>3.97</v>
      </c>
      <c r="E1149" s="2">
        <v>3.98</v>
      </c>
      <c r="F1149" s="3">
        <v>3.98</v>
      </c>
      <c r="G1149" s="4">
        <v>5790000</v>
      </c>
      <c r="H1149">
        <f t="shared" si="17"/>
        <v>-2.481516911972402E-2</v>
      </c>
    </row>
    <row r="1150" spans="1:8" x14ac:dyDescent="0.3">
      <c r="A1150" s="1">
        <v>43672</v>
      </c>
      <c r="B1150" s="2">
        <v>4</v>
      </c>
      <c r="C1150" s="2">
        <v>4.08</v>
      </c>
      <c r="D1150" s="2">
        <v>3.96</v>
      </c>
      <c r="E1150" s="2">
        <v>4.01</v>
      </c>
      <c r="F1150" s="3">
        <v>4.01</v>
      </c>
      <c r="G1150" s="4">
        <v>3209000</v>
      </c>
      <c r="H1150">
        <f t="shared" si="17"/>
        <v>7.5094220221313479E-3</v>
      </c>
    </row>
    <row r="1151" spans="1:8" x14ac:dyDescent="0.3">
      <c r="A1151" s="1">
        <v>43675</v>
      </c>
      <c r="B1151" s="2">
        <v>4.0199999999999996</v>
      </c>
      <c r="C1151" s="2">
        <v>4.16</v>
      </c>
      <c r="D1151" s="2">
        <v>4.0199999999999996</v>
      </c>
      <c r="E1151" s="2">
        <v>4.12</v>
      </c>
      <c r="F1151" s="3">
        <v>4.12</v>
      </c>
      <c r="G1151" s="4">
        <v>4327100</v>
      </c>
      <c r="H1151">
        <f t="shared" si="17"/>
        <v>2.7061922042957379E-2</v>
      </c>
    </row>
    <row r="1152" spans="1:8" x14ac:dyDescent="0.3">
      <c r="A1152" s="1">
        <v>43676</v>
      </c>
      <c r="B1152" s="2">
        <v>4.0999999999999996</v>
      </c>
      <c r="C1152" s="2">
        <v>4.13</v>
      </c>
      <c r="D1152" s="2">
        <v>3.9</v>
      </c>
      <c r="E1152" s="2">
        <v>4.03</v>
      </c>
      <c r="F1152" s="3">
        <v>4.03</v>
      </c>
      <c r="G1152" s="4">
        <v>5271400</v>
      </c>
      <c r="H1152">
        <f t="shared" si="17"/>
        <v>-2.2086787402843398E-2</v>
      </c>
    </row>
    <row r="1153" spans="1:8" x14ac:dyDescent="0.3">
      <c r="A1153" s="1">
        <v>43677</v>
      </c>
      <c r="B1153" s="2">
        <v>4.03</v>
      </c>
      <c r="C1153" s="2">
        <v>4.18</v>
      </c>
      <c r="D1153" s="2">
        <v>4</v>
      </c>
      <c r="E1153" s="2">
        <v>4.0199999999999996</v>
      </c>
      <c r="F1153" s="3">
        <v>4.0199999999999996</v>
      </c>
      <c r="G1153" s="4">
        <v>5208900</v>
      </c>
      <c r="H1153">
        <f t="shared" si="17"/>
        <v>-2.4844733276620564E-3</v>
      </c>
    </row>
    <row r="1154" spans="1:8" x14ac:dyDescent="0.3">
      <c r="A1154" s="1">
        <v>43678</v>
      </c>
      <c r="B1154" s="2">
        <v>4.0199999999999996</v>
      </c>
      <c r="C1154" s="2">
        <v>4.0599999999999996</v>
      </c>
      <c r="D1154" s="2">
        <v>3.78</v>
      </c>
      <c r="E1154" s="2">
        <v>3.84</v>
      </c>
      <c r="F1154" s="3">
        <v>3.84</v>
      </c>
      <c r="G1154" s="4">
        <v>5596500</v>
      </c>
      <c r="H1154">
        <f t="shared" si="17"/>
        <v>-4.5809536031294104E-2</v>
      </c>
    </row>
    <row r="1155" spans="1:8" x14ac:dyDescent="0.3">
      <c r="A1155" s="1">
        <v>43679</v>
      </c>
      <c r="B1155" s="2">
        <v>3.83</v>
      </c>
      <c r="C1155" s="2">
        <v>3.89</v>
      </c>
      <c r="D1155" s="2">
        <v>3.75</v>
      </c>
      <c r="E1155" s="2">
        <v>3.78</v>
      </c>
      <c r="F1155" s="3">
        <v>3.78</v>
      </c>
      <c r="G1155" s="4">
        <v>3594700</v>
      </c>
      <c r="H1155">
        <f t="shared" si="17"/>
        <v>-1.5748356968139168E-2</v>
      </c>
    </row>
    <row r="1156" spans="1:8" x14ac:dyDescent="0.3">
      <c r="A1156" s="1">
        <v>43682</v>
      </c>
      <c r="B1156" s="2">
        <v>3.72</v>
      </c>
      <c r="C1156" s="2">
        <v>3.75</v>
      </c>
      <c r="D1156" s="2">
        <v>3.58</v>
      </c>
      <c r="E1156" s="2">
        <v>3.71</v>
      </c>
      <c r="F1156" s="3">
        <v>3.71</v>
      </c>
      <c r="G1156" s="4">
        <v>5681800</v>
      </c>
      <c r="H1156">
        <f t="shared" ref="H1156:H1219" si="18">LN(E1156/E1155)</f>
        <v>-1.8692133012152522E-2</v>
      </c>
    </row>
    <row r="1157" spans="1:8" x14ac:dyDescent="0.3">
      <c r="A1157" s="1">
        <v>43683</v>
      </c>
      <c r="B1157" s="2">
        <v>3.73</v>
      </c>
      <c r="C1157" s="2">
        <v>3.82</v>
      </c>
      <c r="D1157" s="2">
        <v>3.63</v>
      </c>
      <c r="E1157" s="2">
        <v>3.81</v>
      </c>
      <c r="F1157" s="3">
        <v>3.81</v>
      </c>
      <c r="G1157" s="4">
        <v>5157400</v>
      </c>
      <c r="H1157">
        <f t="shared" si="18"/>
        <v>2.659731251926585E-2</v>
      </c>
    </row>
    <row r="1158" spans="1:8" x14ac:dyDescent="0.3">
      <c r="A1158" s="1">
        <v>43684</v>
      </c>
      <c r="B1158" s="2">
        <v>3.74</v>
      </c>
      <c r="C1158" s="2">
        <v>3.85</v>
      </c>
      <c r="D1158" s="2">
        <v>3.66</v>
      </c>
      <c r="E1158" s="2">
        <v>3.81</v>
      </c>
      <c r="F1158" s="3">
        <v>3.81</v>
      </c>
      <c r="G1158" s="4">
        <v>5856100</v>
      </c>
      <c r="H1158">
        <f t="shared" si="18"/>
        <v>0</v>
      </c>
    </row>
    <row r="1159" spans="1:8" x14ac:dyDescent="0.3">
      <c r="A1159" s="1">
        <v>43685</v>
      </c>
      <c r="B1159" s="2">
        <v>3.84</v>
      </c>
      <c r="C1159" s="2">
        <v>3.91</v>
      </c>
      <c r="D1159" s="2">
        <v>3.77</v>
      </c>
      <c r="E1159" s="2">
        <v>3.89</v>
      </c>
      <c r="F1159" s="3">
        <v>3.89</v>
      </c>
      <c r="G1159" s="4">
        <v>2306700</v>
      </c>
      <c r="H1159">
        <f t="shared" si="18"/>
        <v>2.0779968491745435E-2</v>
      </c>
    </row>
    <row r="1160" spans="1:8" x14ac:dyDescent="0.3">
      <c r="A1160" s="1">
        <v>43686</v>
      </c>
      <c r="B1160" s="2">
        <v>3.83</v>
      </c>
      <c r="C1160" s="2">
        <v>3.86</v>
      </c>
      <c r="D1160" s="2">
        <v>3.59</v>
      </c>
      <c r="E1160" s="2">
        <v>3.59</v>
      </c>
      <c r="F1160" s="3">
        <v>3.59</v>
      </c>
      <c r="G1160" s="4">
        <v>3079400</v>
      </c>
      <c r="H1160">
        <f t="shared" si="18"/>
        <v>-8.025695513016752E-2</v>
      </c>
    </row>
    <row r="1161" spans="1:8" x14ac:dyDescent="0.3">
      <c r="A1161" s="1">
        <v>43689</v>
      </c>
      <c r="B1161" s="2">
        <v>3.58</v>
      </c>
      <c r="C1161" s="2">
        <v>3.62</v>
      </c>
      <c r="D1161" s="2">
        <v>3.44</v>
      </c>
      <c r="E1161" s="2">
        <v>3.51</v>
      </c>
      <c r="F1161" s="3">
        <v>3.51</v>
      </c>
      <c r="G1161" s="4">
        <v>2677600</v>
      </c>
      <c r="H1161">
        <f t="shared" si="18"/>
        <v>-2.2536165022413058E-2</v>
      </c>
    </row>
    <row r="1162" spans="1:8" x14ac:dyDescent="0.3">
      <c r="A1162" s="1">
        <v>43690</v>
      </c>
      <c r="B1162" s="2">
        <v>3.48</v>
      </c>
      <c r="C1162" s="2">
        <v>3.76</v>
      </c>
      <c r="D1162" s="2">
        <v>3.47</v>
      </c>
      <c r="E1162" s="2">
        <v>3.47</v>
      </c>
      <c r="F1162" s="3">
        <v>3.47</v>
      </c>
      <c r="G1162" s="4">
        <v>4504500</v>
      </c>
      <c r="H1162">
        <f t="shared" si="18"/>
        <v>-1.1461443519006539E-2</v>
      </c>
    </row>
    <row r="1163" spans="1:8" x14ac:dyDescent="0.3">
      <c r="A1163" s="1">
        <v>43691</v>
      </c>
      <c r="B1163" s="2">
        <v>3.39</v>
      </c>
      <c r="C1163" s="2">
        <v>3.42</v>
      </c>
      <c r="D1163" s="2">
        <v>3.19</v>
      </c>
      <c r="E1163" s="2">
        <v>3.32</v>
      </c>
      <c r="F1163" s="3">
        <v>3.32</v>
      </c>
      <c r="G1163" s="4">
        <v>6081900</v>
      </c>
      <c r="H1163">
        <f t="shared" si="18"/>
        <v>-4.4189811030370743E-2</v>
      </c>
    </row>
    <row r="1164" spans="1:8" x14ac:dyDescent="0.3">
      <c r="A1164" s="1">
        <v>43692</v>
      </c>
      <c r="B1164" s="2">
        <v>3.32</v>
      </c>
      <c r="C1164" s="2">
        <v>3.41</v>
      </c>
      <c r="D1164" s="2">
        <v>3.15</v>
      </c>
      <c r="E1164" s="2">
        <v>3.21</v>
      </c>
      <c r="F1164" s="3">
        <v>3.21</v>
      </c>
      <c r="G1164" s="4">
        <v>5888400</v>
      </c>
      <c r="H1164">
        <f t="shared" si="18"/>
        <v>-3.3693845786472644E-2</v>
      </c>
    </row>
    <row r="1165" spans="1:8" x14ac:dyDescent="0.3">
      <c r="A1165" s="1">
        <v>43693</v>
      </c>
      <c r="B1165" s="2">
        <v>3.25</v>
      </c>
      <c r="C1165" s="2">
        <v>3.36</v>
      </c>
      <c r="D1165" s="2">
        <v>3.21</v>
      </c>
      <c r="E1165" s="2">
        <v>3.32</v>
      </c>
      <c r="F1165" s="3">
        <v>3.32</v>
      </c>
      <c r="G1165" s="4">
        <v>3130700</v>
      </c>
      <c r="H1165">
        <f t="shared" si="18"/>
        <v>3.3693845786472575E-2</v>
      </c>
    </row>
    <row r="1166" spans="1:8" x14ac:dyDescent="0.3">
      <c r="A1166" s="1">
        <v>43696</v>
      </c>
      <c r="B1166" s="2">
        <v>3.37</v>
      </c>
      <c r="C1166" s="2">
        <v>3.47</v>
      </c>
      <c r="D1166" s="2">
        <v>3.34</v>
      </c>
      <c r="E1166" s="2">
        <v>3.38</v>
      </c>
      <c r="F1166" s="3">
        <v>3.38</v>
      </c>
      <c r="G1166" s="4">
        <v>2887500</v>
      </c>
      <c r="H1166">
        <f t="shared" si="18"/>
        <v>1.7910926566530243E-2</v>
      </c>
    </row>
    <row r="1167" spans="1:8" x14ac:dyDescent="0.3">
      <c r="A1167" s="1">
        <v>43697</v>
      </c>
      <c r="B1167" s="2">
        <v>3.35</v>
      </c>
      <c r="C1167" s="2">
        <v>3.46</v>
      </c>
      <c r="D1167" s="2">
        <v>3.28</v>
      </c>
      <c r="E1167" s="2">
        <v>3.42</v>
      </c>
      <c r="F1167" s="3">
        <v>3.42</v>
      </c>
      <c r="G1167" s="4">
        <v>4260000</v>
      </c>
      <c r="H1167">
        <f t="shared" si="18"/>
        <v>1.1764841579586431E-2</v>
      </c>
    </row>
    <row r="1168" spans="1:8" x14ac:dyDescent="0.3">
      <c r="A1168" s="1">
        <v>43698</v>
      </c>
      <c r="B1168" s="2">
        <v>3.5</v>
      </c>
      <c r="C1168" s="2">
        <v>3.62</v>
      </c>
      <c r="D1168" s="2">
        <v>3.44</v>
      </c>
      <c r="E1168" s="2">
        <v>3.54</v>
      </c>
      <c r="F1168" s="3">
        <v>3.54</v>
      </c>
      <c r="G1168" s="4">
        <v>5910900</v>
      </c>
      <c r="H1168">
        <f t="shared" si="18"/>
        <v>3.4486176071169404E-2</v>
      </c>
    </row>
    <row r="1169" spans="1:8" x14ac:dyDescent="0.3">
      <c r="A1169" s="1">
        <v>43699</v>
      </c>
      <c r="B1169" s="2">
        <v>3.97</v>
      </c>
      <c r="C1169" s="2">
        <v>4.25</v>
      </c>
      <c r="D1169" s="2">
        <v>3.72</v>
      </c>
      <c r="E1169" s="2">
        <v>3.87</v>
      </c>
      <c r="F1169" s="3">
        <v>3.87</v>
      </c>
      <c r="G1169" s="4">
        <v>29177300</v>
      </c>
      <c r="H1169">
        <f t="shared" si="18"/>
        <v>8.9127779896007328E-2</v>
      </c>
    </row>
    <row r="1170" spans="1:8" x14ac:dyDescent="0.3">
      <c r="A1170" s="1">
        <v>43700</v>
      </c>
      <c r="B1170" s="2">
        <v>3.84</v>
      </c>
      <c r="C1170" s="2">
        <v>3.9</v>
      </c>
      <c r="D1170" s="2">
        <v>3.56</v>
      </c>
      <c r="E1170" s="2">
        <v>3.65</v>
      </c>
      <c r="F1170" s="3">
        <v>3.65</v>
      </c>
      <c r="G1170" s="4">
        <v>8660900</v>
      </c>
      <c r="H1170">
        <f t="shared" si="18"/>
        <v>-5.8527339447290369E-2</v>
      </c>
    </row>
    <row r="1171" spans="1:8" x14ac:dyDescent="0.3">
      <c r="A1171" s="1">
        <v>43703</v>
      </c>
      <c r="B1171" s="2">
        <v>3.72</v>
      </c>
      <c r="C1171" s="2">
        <v>4.04</v>
      </c>
      <c r="D1171" s="2">
        <v>3.65</v>
      </c>
      <c r="E1171" s="2">
        <v>3.82</v>
      </c>
      <c r="F1171" s="3">
        <v>3.82</v>
      </c>
      <c r="G1171" s="4">
        <v>10319400</v>
      </c>
      <c r="H1171">
        <f t="shared" si="18"/>
        <v>4.5523255024083602E-2</v>
      </c>
    </row>
    <row r="1172" spans="1:8" x14ac:dyDescent="0.3">
      <c r="A1172" s="1">
        <v>43704</v>
      </c>
      <c r="B1172" s="2">
        <v>3.87</v>
      </c>
      <c r="C1172" s="2">
        <v>3.93</v>
      </c>
      <c r="D1172" s="2">
        <v>3.68</v>
      </c>
      <c r="E1172" s="2">
        <v>3.7</v>
      </c>
      <c r="F1172" s="3">
        <v>3.7</v>
      </c>
      <c r="G1172" s="4">
        <v>5701000</v>
      </c>
      <c r="H1172">
        <f t="shared" si="18"/>
        <v>-3.1917602968304974E-2</v>
      </c>
    </row>
    <row r="1173" spans="1:8" x14ac:dyDescent="0.3">
      <c r="A1173" s="1">
        <v>43705</v>
      </c>
      <c r="B1173" s="2">
        <v>3.7</v>
      </c>
      <c r="C1173" s="2">
        <v>3.97</v>
      </c>
      <c r="D1173" s="2">
        <v>3.67</v>
      </c>
      <c r="E1173" s="2">
        <v>3.88</v>
      </c>
      <c r="F1173" s="3">
        <v>3.88</v>
      </c>
      <c r="G1173" s="4">
        <v>6439200</v>
      </c>
      <c r="H1173">
        <f t="shared" si="18"/>
        <v>4.750233398500326E-2</v>
      </c>
    </row>
    <row r="1174" spans="1:8" x14ac:dyDescent="0.3">
      <c r="A1174" s="1">
        <v>43706</v>
      </c>
      <c r="B1174" s="2">
        <v>3.93</v>
      </c>
      <c r="C1174" s="2">
        <v>4.29</v>
      </c>
      <c r="D1174" s="2">
        <v>3.75</v>
      </c>
      <c r="E1174" s="2">
        <v>4.2300000000000004</v>
      </c>
      <c r="F1174" s="3">
        <v>4.2300000000000004</v>
      </c>
      <c r="G1174" s="4">
        <v>13363500</v>
      </c>
      <c r="H1174">
        <f t="shared" si="18"/>
        <v>8.6366839423004646E-2</v>
      </c>
    </row>
    <row r="1175" spans="1:8" x14ac:dyDescent="0.3">
      <c r="A1175" s="1">
        <v>43707</v>
      </c>
      <c r="B1175" s="2">
        <v>4.26</v>
      </c>
      <c r="C1175" s="2">
        <v>4.3600000000000003</v>
      </c>
      <c r="D1175" s="2">
        <v>3.92</v>
      </c>
      <c r="E1175" s="2">
        <v>3.97</v>
      </c>
      <c r="F1175" s="3">
        <v>3.97</v>
      </c>
      <c r="G1175" s="4">
        <v>10634600</v>
      </c>
      <c r="H1175">
        <f t="shared" si="18"/>
        <v>-6.3435898359087653E-2</v>
      </c>
    </row>
    <row r="1176" spans="1:8" x14ac:dyDescent="0.3">
      <c r="A1176" s="1">
        <v>43711</v>
      </c>
      <c r="B1176" s="2">
        <v>3.97</v>
      </c>
      <c r="C1176" s="2">
        <v>4.07</v>
      </c>
      <c r="D1176" s="2">
        <v>3.66</v>
      </c>
      <c r="E1176" s="2">
        <v>3.81</v>
      </c>
      <c r="F1176" s="3">
        <v>3.81</v>
      </c>
      <c r="G1176" s="4">
        <v>9044400</v>
      </c>
      <c r="H1176">
        <f t="shared" si="18"/>
        <v>-4.113690556048949E-2</v>
      </c>
    </row>
    <row r="1177" spans="1:8" x14ac:dyDescent="0.3">
      <c r="A1177" s="1">
        <v>43712</v>
      </c>
      <c r="B1177" s="2">
        <v>3.88</v>
      </c>
      <c r="C1177" s="2">
        <v>4</v>
      </c>
      <c r="D1177" s="2">
        <v>3.85</v>
      </c>
      <c r="E1177" s="2">
        <v>3.98</v>
      </c>
      <c r="F1177" s="3">
        <v>3.98</v>
      </c>
      <c r="G1177" s="4">
        <v>4227100</v>
      </c>
      <c r="H1177">
        <f t="shared" si="18"/>
        <v>4.3652630157736808E-2</v>
      </c>
    </row>
    <row r="1178" spans="1:8" x14ac:dyDescent="0.3">
      <c r="A1178" s="1">
        <v>43713</v>
      </c>
      <c r="B1178" s="2">
        <v>4.08</v>
      </c>
      <c r="C1178" s="2">
        <v>4.24</v>
      </c>
      <c r="D1178" s="2">
        <v>4.07</v>
      </c>
      <c r="E1178" s="2">
        <v>4.2300000000000004</v>
      </c>
      <c r="F1178" s="3">
        <v>4.2300000000000004</v>
      </c>
      <c r="G1178" s="4">
        <v>6892000</v>
      </c>
      <c r="H1178">
        <f t="shared" si="18"/>
        <v>6.0920173761840467E-2</v>
      </c>
    </row>
    <row r="1179" spans="1:8" x14ac:dyDescent="0.3">
      <c r="A1179" s="1">
        <v>43714</v>
      </c>
      <c r="B1179" s="2">
        <v>4.24</v>
      </c>
      <c r="C1179" s="2">
        <v>4.3600000000000003</v>
      </c>
      <c r="D1179" s="2">
        <v>4.1399999999999997</v>
      </c>
      <c r="E1179" s="2">
        <v>4.3099999999999996</v>
      </c>
      <c r="F1179" s="3">
        <v>4.3099999999999996</v>
      </c>
      <c r="G1179" s="4">
        <v>6701500</v>
      </c>
      <c r="H1179">
        <f t="shared" si="18"/>
        <v>1.8735911057469627E-2</v>
      </c>
    </row>
    <row r="1180" spans="1:8" x14ac:dyDescent="0.3">
      <c r="A1180" s="1">
        <v>43717</v>
      </c>
      <c r="B1180" s="2">
        <v>4.3499999999999996</v>
      </c>
      <c r="C1180" s="2">
        <v>4.92</v>
      </c>
      <c r="D1180" s="2">
        <v>4.3499999999999996</v>
      </c>
      <c r="E1180" s="2">
        <v>4.76</v>
      </c>
      <c r="F1180" s="3">
        <v>4.76</v>
      </c>
      <c r="G1180" s="4">
        <v>14578800</v>
      </c>
      <c r="H1180">
        <f t="shared" si="18"/>
        <v>9.9309764127672326E-2</v>
      </c>
    </row>
    <row r="1181" spans="1:8" x14ac:dyDescent="0.3">
      <c r="A1181" s="1">
        <v>43718</v>
      </c>
      <c r="B1181" s="2">
        <v>4.87</v>
      </c>
      <c r="C1181" s="2">
        <v>5.0999999999999996</v>
      </c>
      <c r="D1181" s="2">
        <v>4.51</v>
      </c>
      <c r="E1181" s="2">
        <v>5.09</v>
      </c>
      <c r="F1181" s="3">
        <v>5.09</v>
      </c>
      <c r="G1181" s="4">
        <v>16659200</v>
      </c>
      <c r="H1181">
        <f t="shared" si="18"/>
        <v>6.7030162319102721E-2</v>
      </c>
    </row>
    <row r="1182" spans="1:8" x14ac:dyDescent="0.3">
      <c r="A1182" s="1">
        <v>43719</v>
      </c>
      <c r="B1182" s="2">
        <v>4.1900000000000004</v>
      </c>
      <c r="C1182" s="2">
        <v>4.95</v>
      </c>
      <c r="D1182" s="2">
        <v>3.97</v>
      </c>
      <c r="E1182" s="2">
        <v>4.59</v>
      </c>
      <c r="F1182" s="3">
        <v>4.59</v>
      </c>
      <c r="G1182" s="4">
        <v>34005000</v>
      </c>
      <c r="H1182">
        <f t="shared" si="18"/>
        <v>-0.10339780648997761</v>
      </c>
    </row>
    <row r="1183" spans="1:8" x14ac:dyDescent="0.3">
      <c r="A1183" s="1">
        <v>43720</v>
      </c>
      <c r="B1183" s="2">
        <v>4.5999999999999996</v>
      </c>
      <c r="C1183" s="2">
        <v>4.8099999999999996</v>
      </c>
      <c r="D1183" s="2">
        <v>4.43</v>
      </c>
      <c r="E1183" s="2">
        <v>4.58</v>
      </c>
      <c r="F1183" s="3">
        <v>4.58</v>
      </c>
      <c r="G1183" s="4">
        <v>8908700</v>
      </c>
      <c r="H1183">
        <f t="shared" si="18"/>
        <v>-2.1810259463601145E-3</v>
      </c>
    </row>
    <row r="1184" spans="1:8" x14ac:dyDescent="0.3">
      <c r="A1184" s="1">
        <v>43721</v>
      </c>
      <c r="B1184" s="2">
        <v>4.62</v>
      </c>
      <c r="C1184" s="2">
        <v>4.7699999999999996</v>
      </c>
      <c r="D1184" s="2">
        <v>4.37</v>
      </c>
      <c r="E1184" s="2">
        <v>4.41</v>
      </c>
      <c r="F1184" s="3">
        <v>4.41</v>
      </c>
      <c r="G1184" s="4">
        <v>7662200</v>
      </c>
      <c r="H1184">
        <f t="shared" si="18"/>
        <v>-3.7824308667338997E-2</v>
      </c>
    </row>
    <row r="1185" spans="1:8" x14ac:dyDescent="0.3">
      <c r="A1185" s="1">
        <v>43724</v>
      </c>
      <c r="B1185" s="2">
        <v>4.3</v>
      </c>
      <c r="C1185" s="2">
        <v>4.47</v>
      </c>
      <c r="D1185" s="2">
        <v>4.2699999999999996</v>
      </c>
      <c r="E1185" s="2">
        <v>4.3499999999999996</v>
      </c>
      <c r="F1185" s="3">
        <v>4.3499999999999996</v>
      </c>
      <c r="G1185" s="4">
        <v>6761300</v>
      </c>
      <c r="H1185">
        <f t="shared" si="18"/>
        <v>-1.3698844358162028E-2</v>
      </c>
    </row>
    <row r="1186" spans="1:8" x14ac:dyDescent="0.3">
      <c r="A1186" s="1">
        <v>43725</v>
      </c>
      <c r="B1186" s="2">
        <v>4.3</v>
      </c>
      <c r="C1186" s="2">
        <v>4.34</v>
      </c>
      <c r="D1186" s="2">
        <v>4.13</v>
      </c>
      <c r="E1186" s="2">
        <v>4.33</v>
      </c>
      <c r="F1186" s="3">
        <v>4.33</v>
      </c>
      <c r="G1186" s="4">
        <v>6406000</v>
      </c>
      <c r="H1186">
        <f t="shared" si="18"/>
        <v>-4.6083030861941068E-3</v>
      </c>
    </row>
    <row r="1187" spans="1:8" x14ac:dyDescent="0.3">
      <c r="A1187" s="1">
        <v>43726</v>
      </c>
      <c r="B1187" s="2">
        <v>4.33</v>
      </c>
      <c r="C1187" s="2">
        <v>4.6900000000000004</v>
      </c>
      <c r="D1187" s="2">
        <v>4.33</v>
      </c>
      <c r="E1187" s="2">
        <v>4.5999999999999996</v>
      </c>
      <c r="F1187" s="3">
        <v>4.5999999999999996</v>
      </c>
      <c r="G1187" s="4">
        <v>9796200</v>
      </c>
      <c r="H1187">
        <f t="shared" si="18"/>
        <v>6.0488761480650743E-2</v>
      </c>
    </row>
    <row r="1188" spans="1:8" x14ac:dyDescent="0.3">
      <c r="A1188" s="1">
        <v>43727</v>
      </c>
      <c r="B1188" s="2">
        <v>4.6399999999999997</v>
      </c>
      <c r="C1188" s="2">
        <v>4.67</v>
      </c>
      <c r="D1188" s="2">
        <v>4.42</v>
      </c>
      <c r="E1188" s="2">
        <v>4.4400000000000004</v>
      </c>
      <c r="F1188" s="3">
        <v>4.4400000000000004</v>
      </c>
      <c r="G1188" s="4">
        <v>7860300</v>
      </c>
      <c r="H1188">
        <f t="shared" si="18"/>
        <v>-3.5401927050915723E-2</v>
      </c>
    </row>
    <row r="1189" spans="1:8" x14ac:dyDescent="0.3">
      <c r="A1189" s="1">
        <v>43728</v>
      </c>
      <c r="B1189" s="2">
        <v>4.59</v>
      </c>
      <c r="C1189" s="2">
        <v>4.8</v>
      </c>
      <c r="D1189" s="2">
        <v>4.5</v>
      </c>
      <c r="E1189" s="2">
        <v>4.7</v>
      </c>
      <c r="F1189" s="3">
        <v>4.7</v>
      </c>
      <c r="G1189" s="4">
        <v>11603800</v>
      </c>
      <c r="H1189">
        <f t="shared" si="18"/>
        <v>5.6908132271879373E-2</v>
      </c>
    </row>
    <row r="1190" spans="1:8" x14ac:dyDescent="0.3">
      <c r="A1190" s="1">
        <v>43731</v>
      </c>
      <c r="B1190" s="2">
        <v>4.68</v>
      </c>
      <c r="C1190" s="2">
        <v>5.2</v>
      </c>
      <c r="D1190" s="2">
        <v>4.6100000000000003</v>
      </c>
      <c r="E1190" s="2">
        <v>5.0199999999999996</v>
      </c>
      <c r="F1190" s="3">
        <v>5.0199999999999996</v>
      </c>
      <c r="G1190" s="4">
        <v>12474000</v>
      </c>
      <c r="H1190">
        <f t="shared" si="18"/>
        <v>6.5867424987624809E-2</v>
      </c>
    </row>
    <row r="1191" spans="1:8" x14ac:dyDescent="0.3">
      <c r="A1191" s="1">
        <v>43732</v>
      </c>
      <c r="B1191" s="2">
        <v>5.14</v>
      </c>
      <c r="C1191" s="2">
        <v>5.5</v>
      </c>
      <c r="D1191" s="2">
        <v>4.9800000000000004</v>
      </c>
      <c r="E1191" s="2">
        <v>5.01</v>
      </c>
      <c r="F1191" s="3">
        <v>5.01</v>
      </c>
      <c r="G1191" s="4">
        <v>13097900</v>
      </c>
      <c r="H1191">
        <f t="shared" si="18"/>
        <v>-1.9940186068643953E-3</v>
      </c>
    </row>
    <row r="1192" spans="1:8" x14ac:dyDescent="0.3">
      <c r="A1192" s="1">
        <v>43733</v>
      </c>
      <c r="B1192" s="2">
        <v>5.09</v>
      </c>
      <c r="C1192" s="2">
        <v>5.55</v>
      </c>
      <c r="D1192" s="2">
        <v>5.08</v>
      </c>
      <c r="E1192" s="2">
        <v>5.2</v>
      </c>
      <c r="F1192" s="3">
        <v>5.2</v>
      </c>
      <c r="G1192" s="4">
        <v>12164300</v>
      </c>
      <c r="H1192">
        <f t="shared" si="18"/>
        <v>3.7222710490608352E-2</v>
      </c>
    </row>
    <row r="1193" spans="1:8" x14ac:dyDescent="0.3">
      <c r="A1193" s="1">
        <v>43734</v>
      </c>
      <c r="B1193" s="2">
        <v>5.19</v>
      </c>
      <c r="C1193" s="2">
        <v>5.34</v>
      </c>
      <c r="D1193" s="2">
        <v>5.08</v>
      </c>
      <c r="E1193" s="2">
        <v>5.28</v>
      </c>
      <c r="F1193" s="3">
        <v>5.28</v>
      </c>
      <c r="G1193" s="4">
        <v>6080900</v>
      </c>
      <c r="H1193">
        <f t="shared" si="18"/>
        <v>1.5267472130788381E-2</v>
      </c>
    </row>
    <row r="1194" spans="1:8" x14ac:dyDescent="0.3">
      <c r="A1194" s="1">
        <v>43735</v>
      </c>
      <c r="B1194" s="2">
        <v>5.25</v>
      </c>
      <c r="C1194" s="2">
        <v>5.45</v>
      </c>
      <c r="D1194" s="2">
        <v>5.22</v>
      </c>
      <c r="E1194" s="2">
        <v>5.34</v>
      </c>
      <c r="F1194" s="3">
        <v>5.34</v>
      </c>
      <c r="G1194" s="4">
        <v>5548500</v>
      </c>
      <c r="H1194">
        <f t="shared" si="18"/>
        <v>1.1299555253933247E-2</v>
      </c>
    </row>
    <row r="1195" spans="1:8" x14ac:dyDescent="0.3">
      <c r="A1195" s="1">
        <v>43738</v>
      </c>
      <c r="B1195" s="2">
        <v>5.43</v>
      </c>
      <c r="C1195" s="2">
        <v>5.64</v>
      </c>
      <c r="D1195" s="2">
        <v>5.4</v>
      </c>
      <c r="E1195" s="2">
        <v>5.52</v>
      </c>
      <c r="F1195" s="3">
        <v>5.52</v>
      </c>
      <c r="G1195" s="4">
        <v>8919800</v>
      </c>
      <c r="H1195">
        <f t="shared" si="18"/>
        <v>3.3152207316900335E-2</v>
      </c>
    </row>
    <row r="1196" spans="1:8" x14ac:dyDescent="0.3">
      <c r="A1196" s="1">
        <v>43739</v>
      </c>
      <c r="B1196" s="2">
        <v>5.64</v>
      </c>
      <c r="C1196" s="2">
        <v>5.82</v>
      </c>
      <c r="D1196" s="2">
        <v>5.49</v>
      </c>
      <c r="E1196" s="2">
        <v>5.58</v>
      </c>
      <c r="F1196" s="3">
        <v>5.58</v>
      </c>
      <c r="G1196" s="4">
        <v>6592400</v>
      </c>
      <c r="H1196">
        <f t="shared" si="18"/>
        <v>1.0810916104215676E-2</v>
      </c>
    </row>
    <row r="1197" spans="1:8" x14ac:dyDescent="0.3">
      <c r="A1197" s="1">
        <v>43740</v>
      </c>
      <c r="B1197" s="2">
        <v>5.55</v>
      </c>
      <c r="C1197" s="2">
        <v>5.55</v>
      </c>
      <c r="D1197" s="2">
        <v>5.24</v>
      </c>
      <c r="E1197" s="2">
        <v>5.32</v>
      </c>
      <c r="F1197" s="3">
        <v>5.32</v>
      </c>
      <c r="G1197" s="4">
        <v>8154900</v>
      </c>
      <c r="H1197">
        <f t="shared" si="18"/>
        <v>-4.7715473039666549E-2</v>
      </c>
    </row>
    <row r="1198" spans="1:8" x14ac:dyDescent="0.3">
      <c r="A1198" s="1">
        <v>43741</v>
      </c>
      <c r="B1198" s="2">
        <v>5.3</v>
      </c>
      <c r="C1198" s="2">
        <v>5.48</v>
      </c>
      <c r="D1198" s="2">
        <v>5.23</v>
      </c>
      <c r="E1198" s="2">
        <v>5.42</v>
      </c>
      <c r="F1198" s="3">
        <v>5.42</v>
      </c>
      <c r="G1198" s="4">
        <v>4346700</v>
      </c>
      <c r="H1198">
        <f t="shared" si="18"/>
        <v>1.862251209800185E-2</v>
      </c>
    </row>
    <row r="1199" spans="1:8" x14ac:dyDescent="0.3">
      <c r="A1199" s="1">
        <v>43742</v>
      </c>
      <c r="B1199" s="2">
        <v>5.43</v>
      </c>
      <c r="C1199" s="2">
        <v>5.56</v>
      </c>
      <c r="D1199" s="2">
        <v>5.37</v>
      </c>
      <c r="E1199" s="2">
        <v>5.55</v>
      </c>
      <c r="F1199" s="3">
        <v>5.55</v>
      </c>
      <c r="G1199" s="4">
        <v>4213100</v>
      </c>
      <c r="H1199">
        <f t="shared" si="18"/>
        <v>2.3702112306788307E-2</v>
      </c>
    </row>
    <row r="1200" spans="1:8" x14ac:dyDescent="0.3">
      <c r="A1200" s="1">
        <v>43745</v>
      </c>
      <c r="B1200" s="2">
        <v>5.48</v>
      </c>
      <c r="C1200" s="2">
        <v>5.58</v>
      </c>
      <c r="D1200" s="2">
        <v>5.41</v>
      </c>
      <c r="E1200" s="2">
        <v>5.49</v>
      </c>
      <c r="F1200" s="3">
        <v>5.49</v>
      </c>
      <c r="G1200" s="4">
        <v>4154800</v>
      </c>
      <c r="H1200">
        <f t="shared" si="18"/>
        <v>-1.0869672236903768E-2</v>
      </c>
    </row>
    <row r="1201" spans="1:8" x14ac:dyDescent="0.3">
      <c r="A1201" s="1">
        <v>43746</v>
      </c>
      <c r="B1201" s="2">
        <v>5.43</v>
      </c>
      <c r="C1201" s="2">
        <v>5.44</v>
      </c>
      <c r="D1201" s="2">
        <v>5.16</v>
      </c>
      <c r="E1201" s="2">
        <v>5.23</v>
      </c>
      <c r="F1201" s="3">
        <v>5.23</v>
      </c>
      <c r="G1201" s="4">
        <v>4823100</v>
      </c>
      <c r="H1201">
        <f t="shared" si="18"/>
        <v>-4.8516977444607631E-2</v>
      </c>
    </row>
    <row r="1202" spans="1:8" x14ac:dyDescent="0.3">
      <c r="A1202" s="1">
        <v>43747</v>
      </c>
      <c r="B1202" s="2">
        <v>5.25</v>
      </c>
      <c r="C1202" s="2">
        <v>5.3</v>
      </c>
      <c r="D1202" s="2">
        <v>4.96</v>
      </c>
      <c r="E1202" s="2">
        <v>4.99</v>
      </c>
      <c r="F1202" s="3">
        <v>4.99</v>
      </c>
      <c r="G1202" s="4">
        <v>5809600</v>
      </c>
      <c r="H1202">
        <f t="shared" si="18"/>
        <v>-4.6975368313404271E-2</v>
      </c>
    </row>
    <row r="1203" spans="1:8" x14ac:dyDescent="0.3">
      <c r="A1203" s="1">
        <v>43748</v>
      </c>
      <c r="B1203" s="2">
        <v>5.0199999999999996</v>
      </c>
      <c r="C1203" s="2">
        <v>5.15</v>
      </c>
      <c r="D1203" s="2">
        <v>4.96</v>
      </c>
      <c r="E1203" s="2">
        <v>5.05</v>
      </c>
      <c r="F1203" s="3">
        <v>5.05</v>
      </c>
      <c r="G1203" s="4">
        <v>5228000</v>
      </c>
      <c r="H1203">
        <f t="shared" si="18"/>
        <v>1.1952333523841173E-2</v>
      </c>
    </row>
    <row r="1204" spans="1:8" x14ac:dyDescent="0.3">
      <c r="A1204" s="1">
        <v>43749</v>
      </c>
      <c r="B1204" s="2">
        <v>5.14</v>
      </c>
      <c r="C1204" s="2">
        <v>5.49</v>
      </c>
      <c r="D1204" s="2">
        <v>5.14</v>
      </c>
      <c r="E1204" s="2">
        <v>5.37</v>
      </c>
      <c r="F1204" s="3">
        <v>5.37</v>
      </c>
      <c r="G1204" s="4">
        <v>5909200</v>
      </c>
      <c r="H1204">
        <f t="shared" si="18"/>
        <v>6.1439665233504914E-2</v>
      </c>
    </row>
    <row r="1205" spans="1:8" x14ac:dyDescent="0.3">
      <c r="A1205" s="1">
        <v>43752</v>
      </c>
      <c r="B1205" s="2">
        <v>5.32</v>
      </c>
      <c r="C1205" s="2">
        <v>5.59</v>
      </c>
      <c r="D1205" s="2">
        <v>5.22</v>
      </c>
      <c r="E1205" s="2">
        <v>5.58</v>
      </c>
      <c r="F1205" s="3">
        <v>5.58</v>
      </c>
      <c r="G1205" s="4">
        <v>5273900</v>
      </c>
      <c r="H1205">
        <f t="shared" si="18"/>
        <v>3.8360867872446157E-2</v>
      </c>
    </row>
    <row r="1206" spans="1:8" x14ac:dyDescent="0.3">
      <c r="A1206" s="1">
        <v>43753</v>
      </c>
      <c r="B1206" s="2">
        <v>5.6</v>
      </c>
      <c r="C1206" s="2">
        <v>5.91</v>
      </c>
      <c r="D1206" s="2">
        <v>5.59</v>
      </c>
      <c r="E1206" s="2">
        <v>5.61</v>
      </c>
      <c r="F1206" s="3">
        <v>5.61</v>
      </c>
      <c r="G1206" s="4">
        <v>6350900</v>
      </c>
      <c r="H1206">
        <f t="shared" si="18"/>
        <v>5.3619431413853731E-3</v>
      </c>
    </row>
    <row r="1207" spans="1:8" x14ac:dyDescent="0.3">
      <c r="A1207" s="1">
        <v>43754</v>
      </c>
      <c r="B1207" s="2">
        <v>5.58</v>
      </c>
      <c r="C1207" s="2">
        <v>5.91</v>
      </c>
      <c r="D1207" s="2">
        <v>5.58</v>
      </c>
      <c r="E1207" s="2">
        <v>5.88</v>
      </c>
      <c r="F1207" s="3">
        <v>5.88</v>
      </c>
      <c r="G1207" s="4">
        <v>3868700</v>
      </c>
      <c r="H1207">
        <f t="shared" si="18"/>
        <v>4.7006042375930576E-2</v>
      </c>
    </row>
    <row r="1208" spans="1:8" x14ac:dyDescent="0.3">
      <c r="A1208" s="1">
        <v>43755</v>
      </c>
      <c r="B1208" s="2">
        <v>5.89</v>
      </c>
      <c r="C1208" s="2">
        <v>6.05</v>
      </c>
      <c r="D1208" s="2">
        <v>5.8</v>
      </c>
      <c r="E1208" s="2">
        <v>6.03</v>
      </c>
      <c r="F1208" s="3">
        <v>6.03</v>
      </c>
      <c r="G1208" s="4">
        <v>3606600</v>
      </c>
      <c r="H1208">
        <f t="shared" si="18"/>
        <v>2.5190248828558495E-2</v>
      </c>
    </row>
    <row r="1209" spans="1:8" x14ac:dyDescent="0.3">
      <c r="A1209" s="1">
        <v>43756</v>
      </c>
      <c r="B1209" s="2">
        <v>6.03</v>
      </c>
      <c r="C1209" s="2">
        <v>6.05</v>
      </c>
      <c r="D1209" s="2">
        <v>5.77</v>
      </c>
      <c r="E1209" s="2">
        <v>5.94</v>
      </c>
      <c r="F1209" s="3">
        <v>5.94</v>
      </c>
      <c r="G1209" s="4">
        <v>3197100</v>
      </c>
      <c r="H1209">
        <f t="shared" si="18"/>
        <v>-1.5037877364540446E-2</v>
      </c>
    </row>
    <row r="1210" spans="1:8" x14ac:dyDescent="0.3">
      <c r="A1210" s="1">
        <v>43759</v>
      </c>
      <c r="B1210" s="2">
        <v>5.98</v>
      </c>
      <c r="C1210" s="2">
        <v>6.16</v>
      </c>
      <c r="D1210" s="2">
        <v>5.82</v>
      </c>
      <c r="E1210" s="2">
        <v>5.93</v>
      </c>
      <c r="F1210" s="3">
        <v>5.93</v>
      </c>
      <c r="G1210" s="4">
        <v>3611600</v>
      </c>
      <c r="H1210">
        <f t="shared" si="18"/>
        <v>-1.6849203649196343E-3</v>
      </c>
    </row>
    <row r="1211" spans="1:8" x14ac:dyDescent="0.3">
      <c r="A1211" s="1">
        <v>43760</v>
      </c>
      <c r="B1211" s="2">
        <v>5.93</v>
      </c>
      <c r="C1211" s="2">
        <v>6.44</v>
      </c>
      <c r="D1211" s="2">
        <v>5.93</v>
      </c>
      <c r="E1211" s="2">
        <v>6.39</v>
      </c>
      <c r="F1211" s="3">
        <v>6.39</v>
      </c>
      <c r="G1211" s="4">
        <v>4174500</v>
      </c>
      <c r="H1211">
        <f t="shared" si="18"/>
        <v>7.471005537980932E-2</v>
      </c>
    </row>
    <row r="1212" spans="1:8" x14ac:dyDescent="0.3">
      <c r="A1212" s="1">
        <v>43761</v>
      </c>
      <c r="B1212" s="2">
        <v>6.33</v>
      </c>
      <c r="C1212" s="2">
        <v>6.62</v>
      </c>
      <c r="D1212" s="2">
        <v>6.23</v>
      </c>
      <c r="E1212" s="2">
        <v>6.43</v>
      </c>
      <c r="F1212" s="3">
        <v>6.43</v>
      </c>
      <c r="G1212" s="4">
        <v>4071400</v>
      </c>
      <c r="H1212">
        <f t="shared" si="18"/>
        <v>6.2402698600846733E-3</v>
      </c>
    </row>
    <row r="1213" spans="1:8" x14ac:dyDescent="0.3">
      <c r="A1213" s="1">
        <v>43762</v>
      </c>
      <c r="B1213" s="2">
        <v>6.5</v>
      </c>
      <c r="C1213" s="2">
        <v>6.55</v>
      </c>
      <c r="D1213" s="2">
        <v>6.03</v>
      </c>
      <c r="E1213" s="2">
        <v>6.42</v>
      </c>
      <c r="F1213" s="3">
        <v>6.42</v>
      </c>
      <c r="G1213" s="4">
        <v>4268200</v>
      </c>
      <c r="H1213">
        <f t="shared" si="18"/>
        <v>-1.5564205476581953E-3</v>
      </c>
    </row>
    <row r="1214" spans="1:8" x14ac:dyDescent="0.3">
      <c r="A1214" s="1">
        <v>43763</v>
      </c>
      <c r="B1214" s="2">
        <v>6.32</v>
      </c>
      <c r="C1214" s="2">
        <v>6.43</v>
      </c>
      <c r="D1214" s="2">
        <v>6.25</v>
      </c>
      <c r="E1214" s="2">
        <v>6.35</v>
      </c>
      <c r="F1214" s="3">
        <v>6.35</v>
      </c>
      <c r="G1214" s="4">
        <v>2645400</v>
      </c>
      <c r="H1214">
        <f t="shared" si="18"/>
        <v>-1.0963304797269584E-2</v>
      </c>
    </row>
    <row r="1215" spans="1:8" x14ac:dyDescent="0.3">
      <c r="A1215" s="1">
        <v>43766</v>
      </c>
      <c r="B1215" s="2">
        <v>6.38</v>
      </c>
      <c r="C1215" s="2">
        <v>6.49</v>
      </c>
      <c r="D1215" s="2">
        <v>6.17</v>
      </c>
      <c r="E1215" s="2">
        <v>6.19</v>
      </c>
      <c r="F1215" s="3">
        <v>6.19</v>
      </c>
      <c r="G1215" s="4">
        <v>2854700</v>
      </c>
      <c r="H1215">
        <f t="shared" si="18"/>
        <v>-2.5519726208095433E-2</v>
      </c>
    </row>
    <row r="1216" spans="1:8" x14ac:dyDescent="0.3">
      <c r="A1216" s="1">
        <v>43767</v>
      </c>
      <c r="B1216" s="2">
        <v>6.21</v>
      </c>
      <c r="C1216" s="2">
        <v>6.25</v>
      </c>
      <c r="D1216" s="2">
        <v>5.79</v>
      </c>
      <c r="E1216" s="2">
        <v>5.81</v>
      </c>
      <c r="F1216" s="3">
        <v>5.81</v>
      </c>
      <c r="G1216" s="4">
        <v>3918800</v>
      </c>
      <c r="H1216">
        <f t="shared" si="18"/>
        <v>-6.3354515832684977E-2</v>
      </c>
    </row>
    <row r="1217" spans="1:8" x14ac:dyDescent="0.3">
      <c r="A1217" s="1">
        <v>43768</v>
      </c>
      <c r="B1217" s="2">
        <v>5.76</v>
      </c>
      <c r="C1217" s="2">
        <v>5.83</v>
      </c>
      <c r="D1217" s="2">
        <v>5.52</v>
      </c>
      <c r="E1217" s="2">
        <v>5.73</v>
      </c>
      <c r="F1217" s="3">
        <v>5.73</v>
      </c>
      <c r="G1217" s="4">
        <v>3739500</v>
      </c>
      <c r="H1217">
        <f t="shared" si="18"/>
        <v>-1.3865040137171564E-2</v>
      </c>
    </row>
    <row r="1218" spans="1:8" x14ac:dyDescent="0.3">
      <c r="A1218" s="1">
        <v>43769</v>
      </c>
      <c r="B1218" s="2">
        <v>5.63</v>
      </c>
      <c r="C1218" s="2">
        <v>5.69</v>
      </c>
      <c r="D1218" s="2">
        <v>5.31</v>
      </c>
      <c r="E1218" s="2">
        <v>5.44</v>
      </c>
      <c r="F1218" s="3">
        <v>5.44</v>
      </c>
      <c r="G1218" s="4">
        <v>4358600</v>
      </c>
      <c r="H1218">
        <f t="shared" si="18"/>
        <v>-5.1936469858796894E-2</v>
      </c>
    </row>
    <row r="1219" spans="1:8" x14ac:dyDescent="0.3">
      <c r="A1219" s="1">
        <v>43770</v>
      </c>
      <c r="B1219" s="2">
        <v>5.45</v>
      </c>
      <c r="C1219" s="2">
        <v>6</v>
      </c>
      <c r="D1219" s="2">
        <v>5.43</v>
      </c>
      <c r="E1219" s="2">
        <v>5.84</v>
      </c>
      <c r="F1219" s="3">
        <v>5.84</v>
      </c>
      <c r="G1219" s="4">
        <v>5210400</v>
      </c>
      <c r="H1219">
        <f t="shared" si="18"/>
        <v>7.0951735972284394E-2</v>
      </c>
    </row>
    <row r="1220" spans="1:8" x14ac:dyDescent="0.3">
      <c r="A1220" s="1">
        <v>43773</v>
      </c>
      <c r="B1220" s="2">
        <v>5.9</v>
      </c>
      <c r="C1220" s="2">
        <v>6.02</v>
      </c>
      <c r="D1220" s="2">
        <v>5.77</v>
      </c>
      <c r="E1220" s="2">
        <v>5.85</v>
      </c>
      <c r="F1220" s="3">
        <v>5.85</v>
      </c>
      <c r="G1220" s="4">
        <v>3670000</v>
      </c>
      <c r="H1220">
        <f t="shared" ref="H1220:H1283" si="19">LN(E1220/E1219)</f>
        <v>1.7108644036293876E-3</v>
      </c>
    </row>
    <row r="1221" spans="1:8" x14ac:dyDescent="0.3">
      <c r="A1221" s="1">
        <v>43774</v>
      </c>
      <c r="B1221" s="2">
        <v>5.88</v>
      </c>
      <c r="C1221" s="2">
        <v>6.2</v>
      </c>
      <c r="D1221" s="2">
        <v>5.86</v>
      </c>
      <c r="E1221" s="2">
        <v>5.91</v>
      </c>
      <c r="F1221" s="3">
        <v>5.91</v>
      </c>
      <c r="G1221" s="4">
        <v>3374100</v>
      </c>
      <c r="H1221">
        <f t="shared" si="19"/>
        <v>1.0204170174241889E-2</v>
      </c>
    </row>
    <row r="1222" spans="1:8" x14ac:dyDescent="0.3">
      <c r="A1222" s="1">
        <v>43775</v>
      </c>
      <c r="B1222" s="2">
        <v>5.9</v>
      </c>
      <c r="C1222" s="2">
        <v>6.19</v>
      </c>
      <c r="D1222" s="2">
        <v>5.82</v>
      </c>
      <c r="E1222" s="2">
        <v>6.09</v>
      </c>
      <c r="F1222" s="3">
        <v>6.09</v>
      </c>
      <c r="G1222" s="4">
        <v>4128300</v>
      </c>
      <c r="H1222">
        <f t="shared" si="19"/>
        <v>3.0002250303798699E-2</v>
      </c>
    </row>
    <row r="1223" spans="1:8" x14ac:dyDescent="0.3">
      <c r="A1223" s="1">
        <v>43776</v>
      </c>
      <c r="B1223" s="2">
        <v>6.18</v>
      </c>
      <c r="C1223" s="2">
        <v>6.32</v>
      </c>
      <c r="D1223" s="2">
        <v>6.04</v>
      </c>
      <c r="E1223" s="2">
        <v>6.22</v>
      </c>
      <c r="F1223" s="3">
        <v>6.22</v>
      </c>
      <c r="G1223" s="4">
        <v>3129300</v>
      </c>
      <c r="H1223">
        <f t="shared" si="19"/>
        <v>2.1121825029282504E-2</v>
      </c>
    </row>
    <row r="1224" spans="1:8" x14ac:dyDescent="0.3">
      <c r="A1224" s="1">
        <v>43777</v>
      </c>
      <c r="B1224" s="2">
        <v>6.17</v>
      </c>
      <c r="C1224" s="2">
        <v>6.28</v>
      </c>
      <c r="D1224" s="2">
        <v>6.05</v>
      </c>
      <c r="E1224" s="2">
        <v>6.09</v>
      </c>
      <c r="F1224" s="3">
        <v>6.09</v>
      </c>
      <c r="G1224" s="4">
        <v>1968700</v>
      </c>
      <c r="H1224">
        <f t="shared" si="19"/>
        <v>-2.1121825029282434E-2</v>
      </c>
    </row>
    <row r="1225" spans="1:8" x14ac:dyDescent="0.3">
      <c r="A1225" s="1">
        <v>43780</v>
      </c>
      <c r="B1225" s="2">
        <v>6.05</v>
      </c>
      <c r="C1225" s="2">
        <v>6.09</v>
      </c>
      <c r="D1225" s="2">
        <v>5.77</v>
      </c>
      <c r="E1225" s="2">
        <v>6.02</v>
      </c>
      <c r="F1225" s="3">
        <v>6.02</v>
      </c>
      <c r="G1225" s="4">
        <v>3109400</v>
      </c>
      <c r="H1225">
        <f t="shared" si="19"/>
        <v>-1.1560822401076084E-2</v>
      </c>
    </row>
    <row r="1226" spans="1:8" x14ac:dyDescent="0.3">
      <c r="A1226" s="1">
        <v>43781</v>
      </c>
      <c r="B1226" s="2">
        <v>6.03</v>
      </c>
      <c r="C1226" s="2">
        <v>6.07</v>
      </c>
      <c r="D1226" s="2">
        <v>5.87</v>
      </c>
      <c r="E1226" s="2">
        <v>5.92</v>
      </c>
      <c r="F1226" s="3">
        <v>5.92</v>
      </c>
      <c r="G1226" s="4">
        <v>1834500</v>
      </c>
      <c r="H1226">
        <f t="shared" si="19"/>
        <v>-1.675081042481524E-2</v>
      </c>
    </row>
    <row r="1227" spans="1:8" x14ac:dyDescent="0.3">
      <c r="A1227" s="1">
        <v>43782</v>
      </c>
      <c r="B1227" s="2">
        <v>5.91</v>
      </c>
      <c r="C1227" s="2">
        <v>5.97</v>
      </c>
      <c r="D1227" s="2">
        <v>5.81</v>
      </c>
      <c r="E1227" s="2">
        <v>5.94</v>
      </c>
      <c r="F1227" s="3">
        <v>5.94</v>
      </c>
      <c r="G1227" s="4">
        <v>1533600</v>
      </c>
      <c r="H1227">
        <f t="shared" si="19"/>
        <v>3.3726844786393772E-3</v>
      </c>
    </row>
    <row r="1228" spans="1:8" x14ac:dyDescent="0.3">
      <c r="A1228" s="1">
        <v>43783</v>
      </c>
      <c r="B1228" s="2">
        <v>5.95</v>
      </c>
      <c r="C1228" s="2">
        <v>6.11</v>
      </c>
      <c r="D1228" s="2">
        <v>5.9</v>
      </c>
      <c r="E1228" s="2">
        <v>5.98</v>
      </c>
      <c r="F1228" s="3">
        <v>5.98</v>
      </c>
      <c r="G1228" s="4">
        <v>1708700</v>
      </c>
      <c r="H1228">
        <f t="shared" si="19"/>
        <v>6.7114345879867778E-3</v>
      </c>
    </row>
    <row r="1229" spans="1:8" x14ac:dyDescent="0.3">
      <c r="A1229" s="1">
        <v>43784</v>
      </c>
      <c r="B1229" s="2">
        <v>6</v>
      </c>
      <c r="C1229" s="2">
        <v>6.01</v>
      </c>
      <c r="D1229" s="2">
        <v>5.85</v>
      </c>
      <c r="E1229" s="2">
        <v>5.88</v>
      </c>
      <c r="F1229" s="3">
        <v>5.88</v>
      </c>
      <c r="G1229" s="4">
        <v>2165900</v>
      </c>
      <c r="H1229">
        <f t="shared" si="19"/>
        <v>-1.6863806052004916E-2</v>
      </c>
    </row>
    <row r="1230" spans="1:8" x14ac:dyDescent="0.3">
      <c r="A1230" s="1">
        <v>43787</v>
      </c>
      <c r="B1230" s="2">
        <v>5.85</v>
      </c>
      <c r="C1230" s="2">
        <v>5.85</v>
      </c>
      <c r="D1230" s="2">
        <v>5.61</v>
      </c>
      <c r="E1230" s="2">
        <v>5.62</v>
      </c>
      <c r="F1230" s="3">
        <v>5.62</v>
      </c>
      <c r="G1230" s="4">
        <v>2995900</v>
      </c>
      <c r="H1230">
        <f t="shared" si="19"/>
        <v>-4.5225098004935779E-2</v>
      </c>
    </row>
    <row r="1231" spans="1:8" x14ac:dyDescent="0.3">
      <c r="A1231" s="1">
        <v>43788</v>
      </c>
      <c r="B1231" s="2">
        <v>5.57</v>
      </c>
      <c r="C1231" s="2">
        <v>5.66</v>
      </c>
      <c r="D1231" s="2">
        <v>5.45</v>
      </c>
      <c r="E1231" s="2">
        <v>5.5</v>
      </c>
      <c r="F1231" s="3">
        <v>5.5</v>
      </c>
      <c r="G1231" s="4">
        <v>3360500</v>
      </c>
      <c r="H1231">
        <f t="shared" si="19"/>
        <v>-2.1583571667174516E-2</v>
      </c>
    </row>
    <row r="1232" spans="1:8" x14ac:dyDescent="0.3">
      <c r="A1232" s="1">
        <v>43789</v>
      </c>
      <c r="B1232" s="2">
        <v>5.54</v>
      </c>
      <c r="C1232" s="2">
        <v>5.54</v>
      </c>
      <c r="D1232" s="2">
        <v>5.36</v>
      </c>
      <c r="E1232" s="2">
        <v>5.46</v>
      </c>
      <c r="F1232" s="3">
        <v>5.46</v>
      </c>
      <c r="G1232" s="4">
        <v>2666700</v>
      </c>
      <c r="H1232">
        <f t="shared" si="19"/>
        <v>-7.2993024816116079E-3</v>
      </c>
    </row>
    <row r="1233" spans="1:8" x14ac:dyDescent="0.3">
      <c r="A1233" s="1">
        <v>43790</v>
      </c>
      <c r="B1233" s="2">
        <v>5.46</v>
      </c>
      <c r="C1233" s="2">
        <v>5.58</v>
      </c>
      <c r="D1233" s="2">
        <v>5.35</v>
      </c>
      <c r="E1233" s="2">
        <v>5.5</v>
      </c>
      <c r="F1233" s="3">
        <v>5.5</v>
      </c>
      <c r="G1233" s="4">
        <v>2784000</v>
      </c>
      <c r="H1233">
        <f t="shared" si="19"/>
        <v>7.2993024816115351E-3</v>
      </c>
    </row>
    <row r="1234" spans="1:8" x14ac:dyDescent="0.3">
      <c r="A1234" s="1">
        <v>43791</v>
      </c>
      <c r="B1234" s="2">
        <v>5.59</v>
      </c>
      <c r="C1234" s="2">
        <v>5.85</v>
      </c>
      <c r="D1234" s="2">
        <v>5.5</v>
      </c>
      <c r="E1234" s="2">
        <v>5.66</v>
      </c>
      <c r="F1234" s="3">
        <v>5.66</v>
      </c>
      <c r="G1234" s="4">
        <v>3493100</v>
      </c>
      <c r="H1234">
        <f t="shared" si="19"/>
        <v>2.8675799976666298E-2</v>
      </c>
    </row>
    <row r="1235" spans="1:8" x14ac:dyDescent="0.3">
      <c r="A1235" s="1">
        <v>43794</v>
      </c>
      <c r="B1235" s="2">
        <v>5.67</v>
      </c>
      <c r="C1235" s="2">
        <v>6.06</v>
      </c>
      <c r="D1235" s="2">
        <v>5.63</v>
      </c>
      <c r="E1235" s="2">
        <v>6.03</v>
      </c>
      <c r="F1235" s="3">
        <v>6.03</v>
      </c>
      <c r="G1235" s="4">
        <v>2744900</v>
      </c>
      <c r="H1235">
        <f t="shared" si="19"/>
        <v>6.3323118524002533E-2</v>
      </c>
    </row>
    <row r="1236" spans="1:8" x14ac:dyDescent="0.3">
      <c r="A1236" s="1">
        <v>43795</v>
      </c>
      <c r="B1236" s="2">
        <v>6.03</v>
      </c>
      <c r="C1236" s="2">
        <v>6.26</v>
      </c>
      <c r="D1236" s="2">
        <v>6.01</v>
      </c>
      <c r="E1236" s="2">
        <v>6.1</v>
      </c>
      <c r="F1236" s="3">
        <v>6.1</v>
      </c>
      <c r="G1236" s="4">
        <v>2648700</v>
      </c>
      <c r="H1236">
        <f t="shared" si="19"/>
        <v>1.1541760440171328E-2</v>
      </c>
    </row>
    <row r="1237" spans="1:8" x14ac:dyDescent="0.3">
      <c r="A1237" s="1">
        <v>43796</v>
      </c>
      <c r="B1237" s="2">
        <v>6.1</v>
      </c>
      <c r="C1237" s="2">
        <v>6.39</v>
      </c>
      <c r="D1237" s="2">
        <v>6.02</v>
      </c>
      <c r="E1237" s="2">
        <v>6.35</v>
      </c>
      <c r="F1237" s="3">
        <v>6.35</v>
      </c>
      <c r="G1237" s="4">
        <v>3030000</v>
      </c>
      <c r="H1237">
        <f t="shared" si="19"/>
        <v>4.0166041725334653E-2</v>
      </c>
    </row>
    <row r="1238" spans="1:8" x14ac:dyDescent="0.3">
      <c r="A1238" s="1">
        <v>43798</v>
      </c>
      <c r="B1238" s="2">
        <v>6.33</v>
      </c>
      <c r="C1238" s="2">
        <v>6.39</v>
      </c>
      <c r="D1238" s="2">
        <v>6.24</v>
      </c>
      <c r="E1238" s="2">
        <v>6.34</v>
      </c>
      <c r="F1238" s="3">
        <v>6.34</v>
      </c>
      <c r="G1238" s="4">
        <v>1369000</v>
      </c>
      <c r="H1238">
        <f t="shared" si="19"/>
        <v>-1.5760444554656545E-3</v>
      </c>
    </row>
    <row r="1239" spans="1:8" x14ac:dyDescent="0.3">
      <c r="A1239" s="1">
        <v>43801</v>
      </c>
      <c r="B1239" s="2">
        <v>6.35</v>
      </c>
      <c r="C1239" s="2">
        <v>6.46</v>
      </c>
      <c r="D1239" s="2">
        <v>6.09</v>
      </c>
      <c r="E1239" s="2">
        <v>6.17</v>
      </c>
      <c r="F1239" s="3">
        <v>6.17</v>
      </c>
      <c r="G1239" s="4">
        <v>2060600</v>
      </c>
      <c r="H1239">
        <f t="shared" si="19"/>
        <v>-2.7179930531838051E-2</v>
      </c>
    </row>
    <row r="1240" spans="1:8" x14ac:dyDescent="0.3">
      <c r="A1240" s="1">
        <v>43802</v>
      </c>
      <c r="B1240" s="2">
        <v>6.04</v>
      </c>
      <c r="C1240" s="2">
        <v>6.18</v>
      </c>
      <c r="D1240" s="2">
        <v>5.93</v>
      </c>
      <c r="E1240" s="2">
        <v>6.12</v>
      </c>
      <c r="F1240" s="3">
        <v>6.12</v>
      </c>
      <c r="G1240" s="4">
        <v>2214900</v>
      </c>
      <c r="H1240">
        <f t="shared" si="19"/>
        <v>-8.1367413930617128E-3</v>
      </c>
    </row>
    <row r="1241" spans="1:8" x14ac:dyDescent="0.3">
      <c r="A1241" s="1">
        <v>43803</v>
      </c>
      <c r="B1241" s="2">
        <v>6.17</v>
      </c>
      <c r="C1241" s="2">
        <v>6.49</v>
      </c>
      <c r="D1241" s="2">
        <v>6.12</v>
      </c>
      <c r="E1241" s="2">
        <v>6.43</v>
      </c>
      <c r="F1241" s="3">
        <v>6.43</v>
      </c>
      <c r="G1241" s="4">
        <v>2872400</v>
      </c>
      <c r="H1241">
        <f t="shared" si="19"/>
        <v>4.9412441725293348E-2</v>
      </c>
    </row>
    <row r="1242" spans="1:8" x14ac:dyDescent="0.3">
      <c r="A1242" s="1">
        <v>43804</v>
      </c>
      <c r="B1242" s="2">
        <v>6.32</v>
      </c>
      <c r="C1242" s="2">
        <v>6.52</v>
      </c>
      <c r="D1242" s="2">
        <v>6.24</v>
      </c>
      <c r="E1242" s="2">
        <v>6.4</v>
      </c>
      <c r="F1242" s="3">
        <v>6.4</v>
      </c>
      <c r="G1242" s="4">
        <v>4381400</v>
      </c>
      <c r="H1242">
        <f t="shared" si="19"/>
        <v>-4.6765478839017934E-3</v>
      </c>
    </row>
    <row r="1243" spans="1:8" x14ac:dyDescent="0.3">
      <c r="A1243" s="1">
        <v>43805</v>
      </c>
      <c r="B1243" s="2">
        <v>6.39</v>
      </c>
      <c r="C1243" s="2">
        <v>6.68</v>
      </c>
      <c r="D1243" s="2">
        <v>6.39</v>
      </c>
      <c r="E1243" s="2">
        <v>6.68</v>
      </c>
      <c r="F1243" s="3">
        <v>6.68</v>
      </c>
      <c r="G1243" s="4">
        <v>4757300</v>
      </c>
      <c r="H1243">
        <f t="shared" si="19"/>
        <v>4.2819997182928143E-2</v>
      </c>
    </row>
    <row r="1244" spans="1:8" x14ac:dyDescent="0.3">
      <c r="A1244" s="1">
        <v>43808</v>
      </c>
      <c r="B1244" s="2">
        <v>6.65</v>
      </c>
      <c r="C1244" s="2">
        <v>6.92</v>
      </c>
      <c r="D1244" s="2">
        <v>6.19</v>
      </c>
      <c r="E1244" s="2">
        <v>6.33</v>
      </c>
      <c r="F1244" s="3">
        <v>6.33</v>
      </c>
      <c r="G1244" s="4">
        <v>6250600</v>
      </c>
      <c r="H1244">
        <f t="shared" si="19"/>
        <v>-5.3817751392469533E-2</v>
      </c>
    </row>
    <row r="1245" spans="1:8" x14ac:dyDescent="0.3">
      <c r="A1245" s="1">
        <v>43809</v>
      </c>
      <c r="B1245" s="2">
        <v>6.29</v>
      </c>
      <c r="C1245" s="2">
        <v>6.54</v>
      </c>
      <c r="D1245" s="2">
        <v>6.12</v>
      </c>
      <c r="E1245" s="2">
        <v>6.51</v>
      </c>
      <c r="F1245" s="3">
        <v>6.51</v>
      </c>
      <c r="G1245" s="4">
        <v>9594900</v>
      </c>
      <c r="H1245">
        <f t="shared" si="19"/>
        <v>2.8039220064392908E-2</v>
      </c>
    </row>
    <row r="1246" spans="1:8" x14ac:dyDescent="0.3">
      <c r="A1246" s="1">
        <v>43810</v>
      </c>
      <c r="B1246" s="2">
        <v>5.25</v>
      </c>
      <c r="C1246" s="2">
        <v>5.81</v>
      </c>
      <c r="D1246" s="2">
        <v>5.18</v>
      </c>
      <c r="E1246" s="2">
        <v>5.53</v>
      </c>
      <c r="F1246" s="3">
        <v>5.53</v>
      </c>
      <c r="G1246" s="4">
        <v>19517800</v>
      </c>
      <c r="H1246">
        <f t="shared" si="19"/>
        <v>-0.16315164068623442</v>
      </c>
    </row>
    <row r="1247" spans="1:8" x14ac:dyDescent="0.3">
      <c r="A1247" s="1">
        <v>43811</v>
      </c>
      <c r="B1247" s="2">
        <v>5.46</v>
      </c>
      <c r="C1247" s="2">
        <v>5.71</v>
      </c>
      <c r="D1247" s="2">
        <v>5.41</v>
      </c>
      <c r="E1247" s="2">
        <v>5.58</v>
      </c>
      <c r="F1247" s="3">
        <v>5.58</v>
      </c>
      <c r="G1247" s="4">
        <v>6387300</v>
      </c>
      <c r="H1247">
        <f t="shared" si="19"/>
        <v>9.0009608589761234E-3</v>
      </c>
    </row>
    <row r="1248" spans="1:8" x14ac:dyDescent="0.3">
      <c r="A1248" s="1">
        <v>43812</v>
      </c>
      <c r="B1248" s="2">
        <v>5.47</v>
      </c>
      <c r="C1248" s="2">
        <v>5.62</v>
      </c>
      <c r="D1248" s="2">
        <v>5.24</v>
      </c>
      <c r="E1248" s="2">
        <v>5.45</v>
      </c>
      <c r="F1248" s="3">
        <v>5.45</v>
      </c>
      <c r="G1248" s="4">
        <v>5439000</v>
      </c>
      <c r="H1248">
        <f t="shared" si="19"/>
        <v>-2.3573167718066803E-2</v>
      </c>
    </row>
    <row r="1249" spans="1:8" x14ac:dyDescent="0.3">
      <c r="A1249" s="1">
        <v>43815</v>
      </c>
      <c r="B1249" s="2">
        <v>5.39</v>
      </c>
      <c r="C1249" s="2">
        <v>5.59</v>
      </c>
      <c r="D1249" s="2">
        <v>5.39</v>
      </c>
      <c r="E1249" s="2">
        <v>5.5</v>
      </c>
      <c r="F1249" s="3">
        <v>5.5</v>
      </c>
      <c r="G1249" s="4">
        <v>4406900</v>
      </c>
      <c r="H1249">
        <f t="shared" si="19"/>
        <v>9.1324835632724723E-3</v>
      </c>
    </row>
    <row r="1250" spans="1:8" x14ac:dyDescent="0.3">
      <c r="A1250" s="1">
        <v>43816</v>
      </c>
      <c r="B1250" s="2">
        <v>5.5</v>
      </c>
      <c r="C1250" s="2">
        <v>6.08</v>
      </c>
      <c r="D1250" s="2">
        <v>5.49</v>
      </c>
      <c r="E1250" s="2">
        <v>6.06</v>
      </c>
      <c r="F1250" s="3">
        <v>6.06</v>
      </c>
      <c r="G1250" s="4">
        <v>4141400</v>
      </c>
      <c r="H1250">
        <f t="shared" si="19"/>
        <v>9.696170784279784E-2</v>
      </c>
    </row>
    <row r="1251" spans="1:8" x14ac:dyDescent="0.3">
      <c r="A1251" s="1">
        <v>43817</v>
      </c>
      <c r="B1251" s="2">
        <v>6.06</v>
      </c>
      <c r="C1251" s="2">
        <v>6.27</v>
      </c>
      <c r="D1251" s="2">
        <v>5.93</v>
      </c>
      <c r="E1251" s="2">
        <v>6.16</v>
      </c>
      <c r="F1251" s="3">
        <v>6.16</v>
      </c>
      <c r="G1251" s="4">
        <v>5264100</v>
      </c>
      <c r="H1251">
        <f t="shared" si="19"/>
        <v>1.6366977464205412E-2</v>
      </c>
    </row>
    <row r="1252" spans="1:8" x14ac:dyDescent="0.3">
      <c r="A1252" s="1">
        <v>43818</v>
      </c>
      <c r="B1252" s="2">
        <v>6.21</v>
      </c>
      <c r="C1252" s="2">
        <v>6.24</v>
      </c>
      <c r="D1252" s="2">
        <v>6.03</v>
      </c>
      <c r="E1252" s="2">
        <v>6.06</v>
      </c>
      <c r="F1252" s="3">
        <v>6.06</v>
      </c>
      <c r="G1252" s="4">
        <v>4452000</v>
      </c>
      <c r="H1252">
        <f t="shared" si="19"/>
        <v>-1.6366977464205359E-2</v>
      </c>
    </row>
    <row r="1253" spans="1:8" x14ac:dyDescent="0.3">
      <c r="A1253" s="1">
        <v>43819</v>
      </c>
      <c r="B1253" s="2">
        <v>6.06</v>
      </c>
      <c r="C1253" s="2">
        <v>6.22</v>
      </c>
      <c r="D1253" s="2">
        <v>5.96</v>
      </c>
      <c r="E1253" s="2">
        <v>5.99</v>
      </c>
      <c r="F1253" s="3">
        <v>5.99</v>
      </c>
      <c r="G1253" s="4">
        <v>5484600</v>
      </c>
      <c r="H1253">
        <f t="shared" si="19"/>
        <v>-1.1618387953864964E-2</v>
      </c>
    </row>
    <row r="1254" spans="1:8" x14ac:dyDescent="0.3">
      <c r="A1254" s="1">
        <v>43822</v>
      </c>
      <c r="B1254" s="2">
        <v>6.05</v>
      </c>
      <c r="C1254" s="2">
        <v>6.07</v>
      </c>
      <c r="D1254" s="2">
        <v>5.54</v>
      </c>
      <c r="E1254" s="2">
        <v>5.61</v>
      </c>
      <c r="F1254" s="3">
        <v>5.61</v>
      </c>
      <c r="G1254" s="4">
        <v>6282700</v>
      </c>
      <c r="H1254">
        <f t="shared" si="19"/>
        <v>-6.5540692592752997E-2</v>
      </c>
    </row>
    <row r="1255" spans="1:8" x14ac:dyDescent="0.3">
      <c r="A1255" s="1">
        <v>43823</v>
      </c>
      <c r="B1255" s="2">
        <v>5.65</v>
      </c>
      <c r="C1255" s="2">
        <v>5.67</v>
      </c>
      <c r="D1255" s="2">
        <v>5.44</v>
      </c>
      <c r="E1255" s="2">
        <v>5.44</v>
      </c>
      <c r="F1255" s="3">
        <v>5.44</v>
      </c>
      <c r="G1255" s="4">
        <v>3395500</v>
      </c>
      <c r="H1255">
        <f t="shared" si="19"/>
        <v>-3.077165866675366E-2</v>
      </c>
    </row>
    <row r="1256" spans="1:8" x14ac:dyDescent="0.3">
      <c r="A1256" s="1">
        <v>43825</v>
      </c>
      <c r="B1256" s="2">
        <v>5.47</v>
      </c>
      <c r="C1256" s="2">
        <v>5.51</v>
      </c>
      <c r="D1256" s="2">
        <v>5.25</v>
      </c>
      <c r="E1256" s="2">
        <v>5.4</v>
      </c>
      <c r="F1256" s="3">
        <v>5.4</v>
      </c>
      <c r="G1256" s="4">
        <v>4264400</v>
      </c>
      <c r="H1256">
        <f t="shared" si="19"/>
        <v>-7.3801072976225337E-3</v>
      </c>
    </row>
    <row r="1257" spans="1:8" x14ac:dyDescent="0.3">
      <c r="A1257" s="1">
        <v>43826</v>
      </c>
      <c r="B1257" s="2">
        <v>5.42</v>
      </c>
      <c r="C1257" s="2">
        <v>5.98</v>
      </c>
      <c r="D1257" s="2">
        <v>5.39</v>
      </c>
      <c r="E1257" s="2">
        <v>5.9</v>
      </c>
      <c r="F1257" s="3">
        <v>5.9</v>
      </c>
      <c r="G1257" s="4">
        <v>11041300</v>
      </c>
      <c r="H1257">
        <f t="shared" si="19"/>
        <v>8.8553397341445031E-2</v>
      </c>
    </row>
    <row r="1258" spans="1:8" x14ac:dyDescent="0.3">
      <c r="A1258" s="1">
        <v>43829</v>
      </c>
      <c r="B1258" s="2">
        <v>5.88</v>
      </c>
      <c r="C1258" s="2">
        <v>6.25</v>
      </c>
      <c r="D1258" s="2">
        <v>5.76</v>
      </c>
      <c r="E1258" s="2">
        <v>6.13</v>
      </c>
      <c r="F1258" s="3">
        <v>6.13</v>
      </c>
      <c r="G1258" s="4">
        <v>4482100</v>
      </c>
      <c r="H1258">
        <f t="shared" si="19"/>
        <v>3.824239903644621E-2</v>
      </c>
    </row>
    <row r="1259" spans="1:8" x14ac:dyDescent="0.3">
      <c r="A1259" s="1">
        <v>43830</v>
      </c>
      <c r="B1259" s="2">
        <v>6.08</v>
      </c>
      <c r="C1259" s="2">
        <v>6.39</v>
      </c>
      <c r="D1259" s="2">
        <v>5.99</v>
      </c>
      <c r="E1259" s="2">
        <v>6.08</v>
      </c>
      <c r="F1259" s="3">
        <v>6.08</v>
      </c>
      <c r="G1259" s="4">
        <v>4322600</v>
      </c>
      <c r="H1259">
        <f t="shared" si="19"/>
        <v>-8.190053970044367E-3</v>
      </c>
    </row>
    <row r="1260" spans="1:8" x14ac:dyDescent="0.3">
      <c r="A1260" s="1">
        <v>43832</v>
      </c>
      <c r="B1260" s="2">
        <v>6.14</v>
      </c>
      <c r="C1260" s="2">
        <v>6.47</v>
      </c>
      <c r="D1260" s="2">
        <v>6.07</v>
      </c>
      <c r="E1260" s="2">
        <v>6.31</v>
      </c>
      <c r="F1260" s="3">
        <v>6.31</v>
      </c>
      <c r="G1260" s="4">
        <v>4453600</v>
      </c>
      <c r="H1260">
        <f t="shared" si="19"/>
        <v>3.7130980575046116E-2</v>
      </c>
    </row>
    <row r="1261" spans="1:8" x14ac:dyDescent="0.3">
      <c r="A1261" s="1">
        <v>43833</v>
      </c>
      <c r="B1261" s="2">
        <v>6.21</v>
      </c>
      <c r="C1261" s="2">
        <v>6.25</v>
      </c>
      <c r="D1261" s="2">
        <v>5.84</v>
      </c>
      <c r="E1261" s="2">
        <v>5.88</v>
      </c>
      <c r="F1261" s="3">
        <v>5.88</v>
      </c>
      <c r="G1261" s="4">
        <v>3543900</v>
      </c>
      <c r="H1261">
        <f t="shared" si="19"/>
        <v>-7.0578914642586185E-2</v>
      </c>
    </row>
    <row r="1262" spans="1:8" x14ac:dyDescent="0.3">
      <c r="A1262" s="1">
        <v>43836</v>
      </c>
      <c r="B1262" s="2">
        <v>5.8</v>
      </c>
      <c r="C1262" s="2">
        <v>5.91</v>
      </c>
      <c r="D1262" s="2">
        <v>5.6</v>
      </c>
      <c r="E1262" s="2">
        <v>5.85</v>
      </c>
      <c r="F1262" s="3">
        <v>5.85</v>
      </c>
      <c r="G1262" s="4">
        <v>3394800</v>
      </c>
      <c r="H1262">
        <f t="shared" si="19"/>
        <v>-5.1151006667704887E-3</v>
      </c>
    </row>
    <row r="1263" spans="1:8" x14ac:dyDescent="0.3">
      <c r="A1263" s="1">
        <v>43837</v>
      </c>
      <c r="B1263" s="2">
        <v>5.77</v>
      </c>
      <c r="C1263" s="2">
        <v>5.83</v>
      </c>
      <c r="D1263" s="2">
        <v>5.44</v>
      </c>
      <c r="E1263" s="2">
        <v>5.52</v>
      </c>
      <c r="F1263" s="3">
        <v>5.52</v>
      </c>
      <c r="G1263" s="4">
        <v>5228000</v>
      </c>
      <c r="H1263">
        <f t="shared" si="19"/>
        <v>-5.8063800954761206E-2</v>
      </c>
    </row>
    <row r="1264" spans="1:8" x14ac:dyDescent="0.3">
      <c r="A1264" s="1">
        <v>43838</v>
      </c>
      <c r="B1264" s="2">
        <v>5.49</v>
      </c>
      <c r="C1264" s="2">
        <v>5.85</v>
      </c>
      <c r="D1264" s="2">
        <v>5.41</v>
      </c>
      <c r="E1264" s="2">
        <v>5.72</v>
      </c>
      <c r="F1264" s="3">
        <v>5.72</v>
      </c>
      <c r="G1264" s="4">
        <v>5629400</v>
      </c>
      <c r="H1264">
        <f t="shared" si="19"/>
        <v>3.5590945102702533E-2</v>
      </c>
    </row>
    <row r="1265" spans="1:8" x14ac:dyDescent="0.3">
      <c r="A1265" s="1">
        <v>43839</v>
      </c>
      <c r="B1265" s="2">
        <v>5.82</v>
      </c>
      <c r="C1265" s="2">
        <v>5.82</v>
      </c>
      <c r="D1265" s="2">
        <v>5.48</v>
      </c>
      <c r="E1265" s="2">
        <v>5.55</v>
      </c>
      <c r="F1265" s="3">
        <v>5.55</v>
      </c>
      <c r="G1265" s="4">
        <v>2643000</v>
      </c>
      <c r="H1265">
        <f t="shared" si="19"/>
        <v>-3.0170877633363354E-2</v>
      </c>
    </row>
    <row r="1266" spans="1:8" x14ac:dyDescent="0.3">
      <c r="A1266" s="1">
        <v>43840</v>
      </c>
      <c r="B1266" s="2">
        <v>5.56</v>
      </c>
      <c r="C1266" s="2">
        <v>5.6</v>
      </c>
      <c r="D1266" s="2">
        <v>5.38</v>
      </c>
      <c r="E1266" s="2">
        <v>5.43</v>
      </c>
      <c r="F1266" s="3">
        <v>5.43</v>
      </c>
      <c r="G1266" s="4">
        <v>2781400</v>
      </c>
      <c r="H1266">
        <f t="shared" si="19"/>
        <v>-2.1858793812499073E-2</v>
      </c>
    </row>
    <row r="1267" spans="1:8" x14ac:dyDescent="0.3">
      <c r="A1267" s="1">
        <v>43843</v>
      </c>
      <c r="B1267" s="2">
        <v>5.43</v>
      </c>
      <c r="C1267" s="2">
        <v>5.61</v>
      </c>
      <c r="D1267" s="2">
        <v>5.33</v>
      </c>
      <c r="E1267" s="2">
        <v>5.43</v>
      </c>
      <c r="F1267" s="3">
        <v>5.43</v>
      </c>
      <c r="G1267" s="4">
        <v>3625200</v>
      </c>
      <c r="H1267">
        <f t="shared" si="19"/>
        <v>0</v>
      </c>
    </row>
    <row r="1268" spans="1:8" x14ac:dyDescent="0.3">
      <c r="A1268" s="1">
        <v>43844</v>
      </c>
      <c r="B1268" s="2">
        <v>4.78</v>
      </c>
      <c r="C1268" s="2">
        <v>5</v>
      </c>
      <c r="D1268" s="2">
        <v>4.53</v>
      </c>
      <c r="E1268" s="2">
        <v>4.71</v>
      </c>
      <c r="F1268" s="3">
        <v>4.71</v>
      </c>
      <c r="G1268" s="4">
        <v>12561900</v>
      </c>
      <c r="H1268">
        <f t="shared" si="19"/>
        <v>-0.14225122591751768</v>
      </c>
    </row>
    <row r="1269" spans="1:8" x14ac:dyDescent="0.3">
      <c r="A1269" s="1">
        <v>43845</v>
      </c>
      <c r="B1269" s="2">
        <v>4.66</v>
      </c>
      <c r="C1269" s="2">
        <v>4.7300000000000004</v>
      </c>
      <c r="D1269" s="2">
        <v>4.55</v>
      </c>
      <c r="E1269" s="2">
        <v>4.6100000000000003</v>
      </c>
      <c r="F1269" s="3">
        <v>4.6100000000000003</v>
      </c>
      <c r="G1269" s="4">
        <v>4981100</v>
      </c>
      <c r="H1269">
        <f t="shared" si="19"/>
        <v>-2.1460051019769111E-2</v>
      </c>
    </row>
    <row r="1270" spans="1:8" x14ac:dyDescent="0.3">
      <c r="A1270" s="1">
        <v>43846</v>
      </c>
      <c r="B1270" s="2">
        <v>4.6100000000000003</v>
      </c>
      <c r="C1270" s="2">
        <v>4.71</v>
      </c>
      <c r="D1270" s="2">
        <v>4.5199999999999996</v>
      </c>
      <c r="E1270" s="2">
        <v>4.62</v>
      </c>
      <c r="F1270" s="3">
        <v>4.62</v>
      </c>
      <c r="G1270" s="4">
        <v>4287100</v>
      </c>
      <c r="H1270">
        <f t="shared" si="19"/>
        <v>2.1668480850902932E-3</v>
      </c>
    </row>
    <row r="1271" spans="1:8" x14ac:dyDescent="0.3">
      <c r="A1271" s="1">
        <v>43847</v>
      </c>
      <c r="B1271" s="2">
        <v>4.58</v>
      </c>
      <c r="C1271" s="2">
        <v>4.75</v>
      </c>
      <c r="D1271" s="2">
        <v>4.51</v>
      </c>
      <c r="E1271" s="2">
        <v>4.75</v>
      </c>
      <c r="F1271" s="3">
        <v>4.75</v>
      </c>
      <c r="G1271" s="4">
        <v>4019500</v>
      </c>
      <c r="H1271">
        <f t="shared" si="19"/>
        <v>2.7749912952902241E-2</v>
      </c>
    </row>
    <row r="1272" spans="1:8" x14ac:dyDescent="0.3">
      <c r="A1272" s="1">
        <v>43851</v>
      </c>
      <c r="B1272" s="2">
        <v>4.75</v>
      </c>
      <c r="C1272" s="2">
        <v>4.75</v>
      </c>
      <c r="D1272" s="2">
        <v>4.55</v>
      </c>
      <c r="E1272" s="2">
        <v>4.59</v>
      </c>
      <c r="F1272" s="3">
        <v>4.59</v>
      </c>
      <c r="G1272" s="4">
        <v>3532100</v>
      </c>
      <c r="H1272">
        <f t="shared" si="19"/>
        <v>-3.426459397409614E-2</v>
      </c>
    </row>
    <row r="1273" spans="1:8" x14ac:dyDescent="0.3">
      <c r="A1273" s="1">
        <v>43852</v>
      </c>
      <c r="B1273" s="2">
        <v>4.55</v>
      </c>
      <c r="C1273" s="2">
        <v>4.6399999999999997</v>
      </c>
      <c r="D1273" s="2">
        <v>4.46</v>
      </c>
      <c r="E1273" s="2">
        <v>4.5599999999999996</v>
      </c>
      <c r="F1273" s="3">
        <v>4.5599999999999996</v>
      </c>
      <c r="G1273" s="4">
        <v>2627500</v>
      </c>
      <c r="H1273">
        <f t="shared" si="19"/>
        <v>-6.5574005461591636E-3</v>
      </c>
    </row>
    <row r="1274" spans="1:8" x14ac:dyDescent="0.3">
      <c r="A1274" s="1">
        <v>43853</v>
      </c>
      <c r="B1274" s="2">
        <v>4.55</v>
      </c>
      <c r="C1274" s="2">
        <v>4.6399999999999997</v>
      </c>
      <c r="D1274" s="2">
        <v>4.46</v>
      </c>
      <c r="E1274" s="2">
        <v>4.62</v>
      </c>
      <c r="F1274" s="3">
        <v>4.62</v>
      </c>
      <c r="G1274" s="4">
        <v>1880200</v>
      </c>
      <c r="H1274">
        <f t="shared" si="19"/>
        <v>1.3072081567352921E-2</v>
      </c>
    </row>
    <row r="1275" spans="1:8" x14ac:dyDescent="0.3">
      <c r="A1275" s="1">
        <v>43854</v>
      </c>
      <c r="B1275" s="2">
        <v>4.6399999999999997</v>
      </c>
      <c r="C1275" s="2">
        <v>4.6399999999999997</v>
      </c>
      <c r="D1275" s="2">
        <v>4.25</v>
      </c>
      <c r="E1275" s="2">
        <v>4.32</v>
      </c>
      <c r="F1275" s="3">
        <v>4.32</v>
      </c>
      <c r="G1275" s="4">
        <v>4163600</v>
      </c>
      <c r="H1275">
        <f t="shared" si="19"/>
        <v>-6.7139302837628437E-2</v>
      </c>
    </row>
    <row r="1276" spans="1:8" x14ac:dyDescent="0.3">
      <c r="A1276" s="1">
        <v>43857</v>
      </c>
      <c r="B1276" s="2">
        <v>4.2</v>
      </c>
      <c r="C1276" s="2">
        <v>4.3499999999999996</v>
      </c>
      <c r="D1276" s="2">
        <v>4.16</v>
      </c>
      <c r="E1276" s="2">
        <v>4.28</v>
      </c>
      <c r="F1276" s="3">
        <v>4.28</v>
      </c>
      <c r="G1276" s="4">
        <v>2122500</v>
      </c>
      <c r="H1276">
        <f t="shared" si="19"/>
        <v>-9.3023926623135612E-3</v>
      </c>
    </row>
    <row r="1277" spans="1:8" x14ac:dyDescent="0.3">
      <c r="A1277" s="1">
        <v>43858</v>
      </c>
      <c r="B1277" s="2">
        <v>4.3</v>
      </c>
      <c r="C1277" s="2">
        <v>4.3</v>
      </c>
      <c r="D1277" s="2">
        <v>4.18</v>
      </c>
      <c r="E1277" s="2">
        <v>4.21</v>
      </c>
      <c r="F1277" s="3">
        <v>4.21</v>
      </c>
      <c r="G1277" s="4">
        <v>2144900</v>
      </c>
      <c r="H1277">
        <f t="shared" si="19"/>
        <v>-1.6490361899415461E-2</v>
      </c>
    </row>
    <row r="1278" spans="1:8" x14ac:dyDescent="0.3">
      <c r="A1278" s="1">
        <v>43859</v>
      </c>
      <c r="B1278" s="2">
        <v>4.22</v>
      </c>
      <c r="C1278" s="2">
        <v>4.32</v>
      </c>
      <c r="D1278" s="2">
        <v>4.13</v>
      </c>
      <c r="E1278" s="2">
        <v>4.13</v>
      </c>
      <c r="F1278" s="3">
        <v>4.13</v>
      </c>
      <c r="G1278" s="4">
        <v>1552600</v>
      </c>
      <c r="H1278">
        <f t="shared" si="19"/>
        <v>-1.9185240721348727E-2</v>
      </c>
    </row>
    <row r="1279" spans="1:8" x14ac:dyDescent="0.3">
      <c r="A1279" s="1">
        <v>43860</v>
      </c>
      <c r="B1279" s="2">
        <v>4.0999999999999996</v>
      </c>
      <c r="C1279" s="2">
        <v>4.12</v>
      </c>
      <c r="D1279" s="2">
        <v>3.88</v>
      </c>
      <c r="E1279" s="2">
        <v>3.93</v>
      </c>
      <c r="F1279" s="3">
        <v>3.93</v>
      </c>
      <c r="G1279" s="4">
        <v>3006500</v>
      </c>
      <c r="H1279">
        <f t="shared" si="19"/>
        <v>-4.963798109177147E-2</v>
      </c>
    </row>
    <row r="1280" spans="1:8" x14ac:dyDescent="0.3">
      <c r="A1280" s="1">
        <v>43861</v>
      </c>
      <c r="B1280" s="2">
        <v>3.91</v>
      </c>
      <c r="C1280" s="2">
        <v>3.94</v>
      </c>
      <c r="D1280" s="2">
        <v>3.83</v>
      </c>
      <c r="E1280" s="2">
        <v>3.84</v>
      </c>
      <c r="F1280" s="3">
        <v>3.84</v>
      </c>
      <c r="G1280" s="4">
        <v>2891700</v>
      </c>
      <c r="H1280">
        <f t="shared" si="19"/>
        <v>-2.3167059281534418E-2</v>
      </c>
    </row>
    <row r="1281" spans="1:8" x14ac:dyDescent="0.3">
      <c r="A1281" s="1">
        <v>43864</v>
      </c>
      <c r="B1281" s="2">
        <v>3.88</v>
      </c>
      <c r="C1281" s="2">
        <v>3.98</v>
      </c>
      <c r="D1281" s="2">
        <v>3.85</v>
      </c>
      <c r="E1281" s="2">
        <v>3.95</v>
      </c>
      <c r="F1281" s="3">
        <v>3.95</v>
      </c>
      <c r="G1281" s="4">
        <v>2026200</v>
      </c>
      <c r="H1281">
        <f t="shared" si="19"/>
        <v>2.8243212313395154E-2</v>
      </c>
    </row>
    <row r="1282" spans="1:8" x14ac:dyDescent="0.3">
      <c r="A1282" s="1">
        <v>43865</v>
      </c>
      <c r="B1282" s="2">
        <v>4.03</v>
      </c>
      <c r="C1282" s="2">
        <v>4.25</v>
      </c>
      <c r="D1282" s="2">
        <v>3.97</v>
      </c>
      <c r="E1282" s="2">
        <v>4.07</v>
      </c>
      <c r="F1282" s="3">
        <v>4.07</v>
      </c>
      <c r="G1282" s="4">
        <v>3563100</v>
      </c>
      <c r="H1282">
        <f t="shared" si="19"/>
        <v>2.9927420541473061E-2</v>
      </c>
    </row>
    <row r="1283" spans="1:8" x14ac:dyDescent="0.3">
      <c r="A1283" s="1">
        <v>43866</v>
      </c>
      <c r="B1283" s="2">
        <v>4.1500000000000004</v>
      </c>
      <c r="C1283" s="2">
        <v>4.41</v>
      </c>
      <c r="D1283" s="2">
        <v>4.1399999999999997</v>
      </c>
      <c r="E1283" s="2">
        <v>4.18</v>
      </c>
      <c r="F1283" s="3">
        <v>4.18</v>
      </c>
      <c r="G1283" s="4">
        <v>2641700</v>
      </c>
      <c r="H1283">
        <f t="shared" si="19"/>
        <v>2.6668247082161273E-2</v>
      </c>
    </row>
    <row r="1284" spans="1:8" x14ac:dyDescent="0.3">
      <c r="A1284" s="1">
        <v>43867</v>
      </c>
      <c r="B1284" s="2">
        <v>4.2</v>
      </c>
      <c r="C1284" s="2">
        <v>4.3</v>
      </c>
      <c r="D1284" s="2">
        <v>4.1399999999999997</v>
      </c>
      <c r="E1284" s="2">
        <v>4.1399999999999997</v>
      </c>
      <c r="F1284" s="3">
        <v>4.1399999999999997</v>
      </c>
      <c r="G1284" s="4">
        <v>1510300</v>
      </c>
      <c r="H1284">
        <f t="shared" ref="H1284:H1347" si="20">LN(E1284/E1283)</f>
        <v>-9.6154586994419804E-3</v>
      </c>
    </row>
    <row r="1285" spans="1:8" x14ac:dyDescent="0.3">
      <c r="A1285" s="1">
        <v>43868</v>
      </c>
      <c r="B1285" s="2">
        <v>4.1100000000000003</v>
      </c>
      <c r="C1285" s="2">
        <v>4.13</v>
      </c>
      <c r="D1285" s="2">
        <v>3.77</v>
      </c>
      <c r="E1285" s="2">
        <v>3.81</v>
      </c>
      <c r="F1285" s="3">
        <v>3.81</v>
      </c>
      <c r="G1285" s="4">
        <v>2742300</v>
      </c>
      <c r="H1285">
        <f t="shared" si="20"/>
        <v>-8.3066598698613325E-2</v>
      </c>
    </row>
    <row r="1286" spans="1:8" x14ac:dyDescent="0.3">
      <c r="A1286" s="1">
        <v>43871</v>
      </c>
      <c r="B1286" s="2">
        <v>3.85</v>
      </c>
      <c r="C1286" s="2">
        <v>4.0999999999999996</v>
      </c>
      <c r="D1286" s="2">
        <v>3.74</v>
      </c>
      <c r="E1286" s="2">
        <v>3.94</v>
      </c>
      <c r="F1286" s="3">
        <v>3.94</v>
      </c>
      <c r="G1286" s="4">
        <v>2777000</v>
      </c>
      <c r="H1286">
        <f t="shared" si="20"/>
        <v>3.3551534171232862E-2</v>
      </c>
    </row>
    <row r="1287" spans="1:8" x14ac:dyDescent="0.3">
      <c r="A1287" s="1">
        <v>43872</v>
      </c>
      <c r="B1287" s="2">
        <v>3.98</v>
      </c>
      <c r="C1287" s="2">
        <v>4.24</v>
      </c>
      <c r="D1287" s="2">
        <v>3.95</v>
      </c>
      <c r="E1287" s="2">
        <v>4.0199999999999996</v>
      </c>
      <c r="F1287" s="3">
        <v>4.0199999999999996</v>
      </c>
      <c r="G1287" s="4">
        <v>3415000</v>
      </c>
      <c r="H1287">
        <f t="shared" si="20"/>
        <v>2.0101179321087088E-2</v>
      </c>
    </row>
    <row r="1288" spans="1:8" x14ac:dyDescent="0.3">
      <c r="A1288" s="1">
        <v>43873</v>
      </c>
      <c r="B1288" s="2">
        <v>4.13</v>
      </c>
      <c r="C1288" s="2">
        <v>4.51</v>
      </c>
      <c r="D1288" s="2">
        <v>4.07</v>
      </c>
      <c r="E1288" s="2">
        <v>4.1900000000000004</v>
      </c>
      <c r="F1288" s="3">
        <v>4.1900000000000004</v>
      </c>
      <c r="G1288" s="4">
        <v>4820600</v>
      </c>
      <c r="H1288">
        <f t="shared" si="20"/>
        <v>4.1418831303116965E-2</v>
      </c>
    </row>
    <row r="1289" spans="1:8" x14ac:dyDescent="0.3">
      <c r="A1289" s="1">
        <v>43874</v>
      </c>
      <c r="B1289" s="2">
        <v>4.12</v>
      </c>
      <c r="C1289" s="2">
        <v>4.26</v>
      </c>
      <c r="D1289" s="2">
        <v>4.07</v>
      </c>
      <c r="E1289" s="2">
        <v>4.1100000000000003</v>
      </c>
      <c r="F1289" s="3">
        <v>4.1100000000000003</v>
      </c>
      <c r="G1289" s="4">
        <v>2081700</v>
      </c>
      <c r="H1289">
        <f t="shared" si="20"/>
        <v>-1.927770542590319E-2</v>
      </c>
    </row>
    <row r="1290" spans="1:8" x14ac:dyDescent="0.3">
      <c r="A1290" s="1">
        <v>43875</v>
      </c>
      <c r="B1290" s="2">
        <v>4.1100000000000003</v>
      </c>
      <c r="C1290" s="2">
        <v>4.1900000000000004</v>
      </c>
      <c r="D1290" s="2">
        <v>4.0199999999999996</v>
      </c>
      <c r="E1290" s="2">
        <v>4.0199999999999996</v>
      </c>
      <c r="F1290" s="3">
        <v>4.0199999999999996</v>
      </c>
      <c r="G1290" s="4">
        <v>1582700</v>
      </c>
      <c r="H1290">
        <f t="shared" si="20"/>
        <v>-2.2141125877213747E-2</v>
      </c>
    </row>
    <row r="1291" spans="1:8" x14ac:dyDescent="0.3">
      <c r="A1291" s="1">
        <v>43879</v>
      </c>
      <c r="B1291" s="2">
        <v>4.01</v>
      </c>
      <c r="C1291" s="2">
        <v>4.08</v>
      </c>
      <c r="D1291" s="2">
        <v>3.96</v>
      </c>
      <c r="E1291" s="2">
        <v>4.0599999999999996</v>
      </c>
      <c r="F1291" s="3">
        <v>4.0599999999999996</v>
      </c>
      <c r="G1291" s="4">
        <v>1467600</v>
      </c>
      <c r="H1291">
        <f t="shared" si="20"/>
        <v>9.9010709827115368E-3</v>
      </c>
    </row>
    <row r="1292" spans="1:8" x14ac:dyDescent="0.3">
      <c r="A1292" s="1">
        <v>43880</v>
      </c>
      <c r="B1292" s="2">
        <v>4.0599999999999996</v>
      </c>
      <c r="C1292" s="2">
        <v>4.2699999999999996</v>
      </c>
      <c r="D1292" s="2">
        <v>3.92</v>
      </c>
      <c r="E1292" s="2">
        <v>4.1500000000000004</v>
      </c>
      <c r="F1292" s="3">
        <v>4.1500000000000004</v>
      </c>
      <c r="G1292" s="4">
        <v>2593100</v>
      </c>
      <c r="H1292">
        <f t="shared" si="20"/>
        <v>2.1925360628965902E-2</v>
      </c>
    </row>
    <row r="1293" spans="1:8" x14ac:dyDescent="0.3">
      <c r="A1293" s="1">
        <v>43881</v>
      </c>
      <c r="B1293" s="2">
        <v>4.16</v>
      </c>
      <c r="C1293" s="2">
        <v>4.3</v>
      </c>
      <c r="D1293" s="2">
        <v>4.1100000000000003</v>
      </c>
      <c r="E1293" s="2">
        <v>4.1399999999999997</v>
      </c>
      <c r="F1293" s="3">
        <v>4.1399999999999997</v>
      </c>
      <c r="G1293" s="4">
        <v>1562300</v>
      </c>
      <c r="H1293">
        <f t="shared" si="20"/>
        <v>-2.4125464053841011E-3</v>
      </c>
    </row>
    <row r="1294" spans="1:8" x14ac:dyDescent="0.3">
      <c r="A1294" s="1">
        <v>43882</v>
      </c>
      <c r="B1294" s="2">
        <v>4.12</v>
      </c>
      <c r="C1294" s="2">
        <v>4.18</v>
      </c>
      <c r="D1294" s="2">
        <v>3.99</v>
      </c>
      <c r="E1294" s="2">
        <v>4.04</v>
      </c>
      <c r="F1294" s="3">
        <v>4.04</v>
      </c>
      <c r="G1294" s="4">
        <v>1695700</v>
      </c>
      <c r="H1294">
        <f t="shared" si="20"/>
        <v>-2.4451095864164194E-2</v>
      </c>
    </row>
    <row r="1295" spans="1:8" x14ac:dyDescent="0.3">
      <c r="A1295" s="1">
        <v>43885</v>
      </c>
      <c r="B1295" s="2">
        <v>3.9</v>
      </c>
      <c r="C1295" s="2">
        <v>3.93</v>
      </c>
      <c r="D1295" s="2">
        <v>3.7</v>
      </c>
      <c r="E1295" s="2">
        <v>3.7</v>
      </c>
      <c r="F1295" s="3">
        <v>3.7</v>
      </c>
      <c r="G1295" s="4">
        <v>3566300</v>
      </c>
      <c r="H1295">
        <f t="shared" si="20"/>
        <v>-8.7911872322879905E-2</v>
      </c>
    </row>
    <row r="1296" spans="1:8" x14ac:dyDescent="0.3">
      <c r="A1296" s="1">
        <v>43886</v>
      </c>
      <c r="B1296" s="2">
        <v>3.77</v>
      </c>
      <c r="C1296" s="2">
        <v>3.79</v>
      </c>
      <c r="D1296" s="2">
        <v>3.55</v>
      </c>
      <c r="E1296" s="2">
        <v>3.56</v>
      </c>
      <c r="F1296" s="3">
        <v>3.56</v>
      </c>
      <c r="G1296" s="4">
        <v>4447900</v>
      </c>
      <c r="H1296">
        <f t="shared" si="20"/>
        <v>-3.857227478623973E-2</v>
      </c>
    </row>
    <row r="1297" spans="1:10" x14ac:dyDescent="0.3">
      <c r="A1297" s="1">
        <v>43887</v>
      </c>
      <c r="B1297" s="2">
        <v>3.58</v>
      </c>
      <c r="C1297" s="2">
        <v>3.62</v>
      </c>
      <c r="D1297" s="2">
        <v>3.36</v>
      </c>
      <c r="E1297" s="2">
        <v>3.39</v>
      </c>
      <c r="F1297" s="3">
        <v>3.39</v>
      </c>
      <c r="G1297" s="4">
        <v>4724800</v>
      </c>
      <c r="H1297">
        <f t="shared" si="20"/>
        <v>-4.8930623471580142E-2</v>
      </c>
      <c r="I1297">
        <f>_xlfn.STDEV.S(H1045:H1297)</f>
        <v>4.5888337557024782E-2</v>
      </c>
      <c r="J1297">
        <f>I1297*SQRT(252)</f>
        <v>0.72845477552443694</v>
      </c>
    </row>
    <row r="1298" spans="1:10" x14ac:dyDescent="0.3">
      <c r="A1298" s="1">
        <v>43888</v>
      </c>
      <c r="B1298" s="2">
        <v>3.23</v>
      </c>
      <c r="C1298" s="2">
        <v>3.63</v>
      </c>
      <c r="D1298" s="2">
        <v>3.18</v>
      </c>
      <c r="E1298" s="2">
        <v>3.47</v>
      </c>
      <c r="F1298" s="3">
        <v>3.47</v>
      </c>
      <c r="G1298" s="4">
        <v>3879500</v>
      </c>
      <c r="H1298">
        <f t="shared" si="20"/>
        <v>2.3324672566409039E-2</v>
      </c>
      <c r="I1298">
        <f t="shared" ref="I1298:I1361" si="21">_xlfn.STDEV.S(H1046:H1298)</f>
        <v>4.5915727033409216E-2</v>
      </c>
      <c r="J1298">
        <f t="shared" ref="J1298:J1361" si="22">I1298*SQRT(252)</f>
        <v>0.72888956998275778</v>
      </c>
    </row>
    <row r="1299" spans="1:10" x14ac:dyDescent="0.3">
      <c r="A1299" s="1">
        <v>43889</v>
      </c>
      <c r="B1299" s="2">
        <v>3.34</v>
      </c>
      <c r="C1299" s="2">
        <v>3.72</v>
      </c>
      <c r="D1299" s="2">
        <v>3.34</v>
      </c>
      <c r="E1299" s="2">
        <v>3.6</v>
      </c>
      <c r="F1299" s="3">
        <v>3.6</v>
      </c>
      <c r="G1299" s="4">
        <v>4692200</v>
      </c>
      <c r="H1299">
        <f t="shared" si="20"/>
        <v>3.6779251503296487E-2</v>
      </c>
      <c r="I1299">
        <f t="shared" si="21"/>
        <v>4.5987779967010582E-2</v>
      </c>
      <c r="J1299">
        <f t="shared" si="22"/>
        <v>0.73003337484400899</v>
      </c>
    </row>
    <row r="1300" spans="1:10" x14ac:dyDescent="0.3">
      <c r="A1300" s="1">
        <v>43892</v>
      </c>
      <c r="B1300" s="2">
        <v>3.6</v>
      </c>
      <c r="C1300" s="2">
        <v>3.85</v>
      </c>
      <c r="D1300" s="2">
        <v>3.39</v>
      </c>
      <c r="E1300" s="2">
        <v>3.83</v>
      </c>
      <c r="F1300" s="3">
        <v>3.83</v>
      </c>
      <c r="G1300" s="4">
        <v>3208400</v>
      </c>
      <c r="H1300">
        <f t="shared" si="20"/>
        <v>6.1930957730490302E-2</v>
      </c>
      <c r="I1300">
        <f t="shared" si="21"/>
        <v>4.6175801162368295E-2</v>
      </c>
      <c r="J1300">
        <f t="shared" si="22"/>
        <v>0.73301811878876266</v>
      </c>
    </row>
    <row r="1301" spans="1:10" x14ac:dyDescent="0.3">
      <c r="A1301" s="1">
        <v>43893</v>
      </c>
      <c r="B1301" s="2">
        <v>3.88</v>
      </c>
      <c r="C1301" s="2">
        <v>3.89</v>
      </c>
      <c r="D1301" s="2">
        <v>3.5</v>
      </c>
      <c r="E1301" s="2">
        <v>3.63</v>
      </c>
      <c r="F1301" s="3">
        <v>3.63</v>
      </c>
      <c r="G1301" s="4">
        <v>4282500</v>
      </c>
      <c r="H1301">
        <f t="shared" si="20"/>
        <v>-5.3632154915795253E-2</v>
      </c>
      <c r="I1301">
        <f t="shared" si="21"/>
        <v>4.6275976566318433E-2</v>
      </c>
      <c r="J1301">
        <f t="shared" si="22"/>
        <v>0.73460835402678759</v>
      </c>
    </row>
    <row r="1302" spans="1:10" x14ac:dyDescent="0.3">
      <c r="A1302" s="1">
        <v>43894</v>
      </c>
      <c r="B1302" s="2">
        <v>3.71</v>
      </c>
      <c r="C1302" s="2">
        <v>3.83</v>
      </c>
      <c r="D1302" s="2">
        <v>3.46</v>
      </c>
      <c r="E1302" s="2">
        <v>3.77</v>
      </c>
      <c r="F1302" s="3">
        <v>3.77</v>
      </c>
      <c r="G1302" s="4">
        <v>4257600</v>
      </c>
      <c r="H1302">
        <f t="shared" si="20"/>
        <v>3.7842353183159934E-2</v>
      </c>
      <c r="I1302">
        <f t="shared" si="21"/>
        <v>4.6347833826141431E-2</v>
      </c>
      <c r="J1302">
        <f t="shared" si="22"/>
        <v>0.73574905266310486</v>
      </c>
    </row>
    <row r="1303" spans="1:10" x14ac:dyDescent="0.3">
      <c r="A1303" s="1">
        <v>43895</v>
      </c>
      <c r="B1303" s="2">
        <v>3.7</v>
      </c>
      <c r="C1303" s="2">
        <v>3.99</v>
      </c>
      <c r="D1303" s="2">
        <v>3.59</v>
      </c>
      <c r="E1303" s="2">
        <v>3.96</v>
      </c>
      <c r="F1303" s="3">
        <v>3.96</v>
      </c>
      <c r="G1303" s="4">
        <v>3599400</v>
      </c>
      <c r="H1303">
        <f t="shared" si="20"/>
        <v>4.9169023806469703E-2</v>
      </c>
      <c r="I1303">
        <f t="shared" si="21"/>
        <v>4.6468195161197365E-2</v>
      </c>
      <c r="J1303">
        <f t="shared" si="22"/>
        <v>0.73765972962325921</v>
      </c>
    </row>
    <row r="1304" spans="1:10" x14ac:dyDescent="0.3">
      <c r="A1304" s="1">
        <v>43896</v>
      </c>
      <c r="B1304" s="2">
        <v>3.84</v>
      </c>
      <c r="C1304" s="2">
        <v>4.07</v>
      </c>
      <c r="D1304" s="2">
        <v>3.76</v>
      </c>
      <c r="E1304" s="2">
        <v>3.92</v>
      </c>
      <c r="F1304" s="3">
        <v>3.92</v>
      </c>
      <c r="G1304" s="4">
        <v>2096800</v>
      </c>
      <c r="H1304">
        <f t="shared" si="20"/>
        <v>-1.0152371464017962E-2</v>
      </c>
      <c r="I1304">
        <f t="shared" si="21"/>
        <v>4.6469649166896866E-2</v>
      </c>
      <c r="J1304">
        <f t="shared" si="22"/>
        <v>0.7376828112481737</v>
      </c>
    </row>
    <row r="1305" spans="1:10" x14ac:dyDescent="0.3">
      <c r="A1305" s="1">
        <v>43899</v>
      </c>
      <c r="B1305" s="2">
        <v>3.59</v>
      </c>
      <c r="C1305" s="2">
        <v>3.97</v>
      </c>
      <c r="D1305" s="2">
        <v>3.5</v>
      </c>
      <c r="E1305" s="2">
        <v>3.7</v>
      </c>
      <c r="F1305" s="3">
        <v>3.7</v>
      </c>
      <c r="G1305" s="4">
        <v>2732000</v>
      </c>
      <c r="H1305">
        <f t="shared" si="20"/>
        <v>-5.7758834152192302E-2</v>
      </c>
      <c r="I1305">
        <f t="shared" si="21"/>
        <v>4.6589006676666066E-2</v>
      </c>
      <c r="J1305">
        <f t="shared" si="22"/>
        <v>0.73957755297591732</v>
      </c>
    </row>
    <row r="1306" spans="1:10" x14ac:dyDescent="0.3">
      <c r="A1306" s="1">
        <v>43900</v>
      </c>
      <c r="B1306" s="2">
        <v>3.94</v>
      </c>
      <c r="C1306" s="2">
        <v>4.26</v>
      </c>
      <c r="D1306" s="2">
        <v>3.8</v>
      </c>
      <c r="E1306" s="2">
        <v>4.2300000000000004</v>
      </c>
      <c r="F1306" s="3">
        <v>4.2300000000000004</v>
      </c>
      <c r="G1306" s="4">
        <v>4863200</v>
      </c>
      <c r="H1306">
        <f t="shared" si="20"/>
        <v>0.13386917340800791</v>
      </c>
      <c r="I1306">
        <f t="shared" si="21"/>
        <v>4.7284888729697154E-2</v>
      </c>
      <c r="J1306">
        <f t="shared" si="22"/>
        <v>0.75062433810083717</v>
      </c>
    </row>
    <row r="1307" spans="1:10" x14ac:dyDescent="0.3">
      <c r="A1307" s="1">
        <v>43901</v>
      </c>
      <c r="B1307" s="2">
        <v>4.1399999999999997</v>
      </c>
      <c r="C1307" s="2">
        <v>4.25</v>
      </c>
      <c r="D1307" s="2">
        <v>4</v>
      </c>
      <c r="E1307" s="2">
        <v>4.1399999999999997</v>
      </c>
      <c r="F1307" s="3">
        <v>4.1399999999999997</v>
      </c>
      <c r="G1307" s="4">
        <v>4414100</v>
      </c>
      <c r="H1307">
        <f t="shared" si="20"/>
        <v>-2.150620522096373E-2</v>
      </c>
      <c r="I1307">
        <f t="shared" si="21"/>
        <v>4.7260300549211889E-2</v>
      </c>
      <c r="J1307">
        <f t="shared" si="22"/>
        <v>0.75023401283630375</v>
      </c>
    </row>
    <row r="1308" spans="1:10" x14ac:dyDescent="0.3">
      <c r="A1308" s="1">
        <v>43902</v>
      </c>
      <c r="B1308" s="2">
        <v>3.7</v>
      </c>
      <c r="C1308" s="2">
        <v>4.04</v>
      </c>
      <c r="D1308" s="2">
        <v>3.48</v>
      </c>
      <c r="E1308" s="2">
        <v>3.98</v>
      </c>
      <c r="F1308" s="3">
        <v>3.98</v>
      </c>
      <c r="G1308" s="4">
        <v>5123400</v>
      </c>
      <c r="H1308">
        <f t="shared" si="20"/>
        <v>-3.9413968540876629E-2</v>
      </c>
      <c r="I1308">
        <f t="shared" si="21"/>
        <v>4.7291393929570665E-2</v>
      </c>
      <c r="J1308">
        <f t="shared" si="22"/>
        <v>0.75072760494740165</v>
      </c>
    </row>
    <row r="1309" spans="1:10" x14ac:dyDescent="0.3">
      <c r="A1309" s="1">
        <v>43903</v>
      </c>
      <c r="B1309" s="2">
        <v>4.13</v>
      </c>
      <c r="C1309" s="2">
        <v>4.6500000000000004</v>
      </c>
      <c r="D1309" s="2">
        <v>3.85</v>
      </c>
      <c r="E1309" s="2">
        <v>4.59</v>
      </c>
      <c r="F1309" s="3">
        <v>4.59</v>
      </c>
      <c r="G1309" s="4">
        <v>5787200</v>
      </c>
      <c r="H1309">
        <f t="shared" si="20"/>
        <v>0.14259820477610741</v>
      </c>
      <c r="I1309">
        <f t="shared" si="21"/>
        <v>4.8176197862018343E-2</v>
      </c>
      <c r="J1309">
        <f t="shared" si="22"/>
        <v>0.76477343193325298</v>
      </c>
    </row>
    <row r="1310" spans="1:10" x14ac:dyDescent="0.3">
      <c r="A1310" s="1">
        <v>43906</v>
      </c>
      <c r="B1310" s="2">
        <v>3.93</v>
      </c>
      <c r="C1310" s="2">
        <v>4.57</v>
      </c>
      <c r="D1310" s="2">
        <v>3.9</v>
      </c>
      <c r="E1310" s="2">
        <v>4.37</v>
      </c>
      <c r="F1310" s="3">
        <v>4.37</v>
      </c>
      <c r="G1310" s="4">
        <v>4866700</v>
      </c>
      <c r="H1310">
        <f t="shared" si="20"/>
        <v>-4.9117014964954978E-2</v>
      </c>
      <c r="I1310">
        <f t="shared" si="21"/>
        <v>4.8148716667754818E-2</v>
      </c>
      <c r="J1310">
        <f t="shared" si="22"/>
        <v>0.76433718149873897</v>
      </c>
    </row>
    <row r="1311" spans="1:10" x14ac:dyDescent="0.3">
      <c r="A1311" s="1">
        <v>43907</v>
      </c>
      <c r="B1311" s="2">
        <v>4.4000000000000004</v>
      </c>
      <c r="C1311" s="2">
        <v>4.6500000000000004</v>
      </c>
      <c r="D1311" s="2">
        <v>4.1100000000000003</v>
      </c>
      <c r="E1311" s="2">
        <v>4.2300000000000004</v>
      </c>
      <c r="F1311" s="3">
        <v>4.2300000000000004</v>
      </c>
      <c r="G1311" s="4">
        <v>3562200</v>
      </c>
      <c r="H1311">
        <f t="shared" si="20"/>
        <v>-3.2561016049312073E-2</v>
      </c>
      <c r="I1311">
        <f t="shared" si="21"/>
        <v>4.8175252748901561E-2</v>
      </c>
      <c r="J1311">
        <f t="shared" si="22"/>
        <v>0.76475842872764599</v>
      </c>
    </row>
    <row r="1312" spans="1:10" x14ac:dyDescent="0.3">
      <c r="A1312" s="1">
        <v>43908</v>
      </c>
      <c r="B1312" s="2">
        <v>4.0999999999999996</v>
      </c>
      <c r="C1312" s="2">
        <v>4.25</v>
      </c>
      <c r="D1312" s="2">
        <v>3.5</v>
      </c>
      <c r="E1312" s="2">
        <v>3.77</v>
      </c>
      <c r="F1312" s="3">
        <v>3.77</v>
      </c>
      <c r="G1312" s="4">
        <v>3651700</v>
      </c>
      <c r="H1312">
        <f t="shared" si="20"/>
        <v>-0.11512699159826725</v>
      </c>
      <c r="I1312">
        <f t="shared" si="21"/>
        <v>4.8679958191206775E-2</v>
      </c>
      <c r="J1312">
        <f t="shared" si="22"/>
        <v>0.77277037924172876</v>
      </c>
    </row>
    <row r="1313" spans="1:10" x14ac:dyDescent="0.3">
      <c r="A1313" s="1">
        <v>43909</v>
      </c>
      <c r="B1313" s="2">
        <v>3.71</v>
      </c>
      <c r="C1313" s="2">
        <v>4.2</v>
      </c>
      <c r="D1313" s="2">
        <v>3.55</v>
      </c>
      <c r="E1313" s="2">
        <v>4.1900000000000004</v>
      </c>
      <c r="F1313" s="3">
        <v>4.1900000000000004</v>
      </c>
      <c r="G1313" s="4">
        <v>5039500</v>
      </c>
      <c r="H1313">
        <f t="shared" si="20"/>
        <v>0.10562573247412699</v>
      </c>
      <c r="I1313">
        <f t="shared" si="21"/>
        <v>4.9166172187390556E-2</v>
      </c>
      <c r="J1313">
        <f t="shared" si="22"/>
        <v>0.78048878714889591</v>
      </c>
    </row>
    <row r="1314" spans="1:10" x14ac:dyDescent="0.3">
      <c r="A1314" s="1">
        <v>43910</v>
      </c>
      <c r="B1314" s="2">
        <v>4.08</v>
      </c>
      <c r="C1314" s="2">
        <v>4.08</v>
      </c>
      <c r="D1314" s="2">
        <v>3.65</v>
      </c>
      <c r="E1314" s="2">
        <v>3.76</v>
      </c>
      <c r="F1314" s="3">
        <v>3.76</v>
      </c>
      <c r="G1314" s="4">
        <v>7722200</v>
      </c>
      <c r="H1314">
        <f t="shared" si="20"/>
        <v>-0.10828177653224336</v>
      </c>
      <c r="I1314">
        <f t="shared" si="21"/>
        <v>4.9542958274526268E-2</v>
      </c>
      <c r="J1314">
        <f t="shared" si="22"/>
        <v>0.78647008085307712</v>
      </c>
    </row>
    <row r="1315" spans="1:10" x14ac:dyDescent="0.3">
      <c r="A1315" s="1">
        <v>43913</v>
      </c>
      <c r="B1315" s="2">
        <v>3.58</v>
      </c>
      <c r="C1315" s="2">
        <v>3.86</v>
      </c>
      <c r="D1315" s="2">
        <v>3.5</v>
      </c>
      <c r="E1315" s="2">
        <v>3.81</v>
      </c>
      <c r="F1315" s="3">
        <v>3.81</v>
      </c>
      <c r="G1315" s="4">
        <v>6009800</v>
      </c>
      <c r="H1315">
        <f t="shared" si="20"/>
        <v>1.3210231736806482E-2</v>
      </c>
      <c r="I1315">
        <f t="shared" si="21"/>
        <v>4.9551781655280833E-2</v>
      </c>
      <c r="J1315">
        <f t="shared" si="22"/>
        <v>0.7866101476802736</v>
      </c>
    </row>
    <row r="1316" spans="1:10" x14ac:dyDescent="0.3">
      <c r="A1316" s="1">
        <v>43914</v>
      </c>
      <c r="B1316" s="2">
        <v>3.95</v>
      </c>
      <c r="C1316" s="2">
        <v>4.21</v>
      </c>
      <c r="D1316" s="2">
        <v>3.89</v>
      </c>
      <c r="E1316" s="2">
        <v>4.16</v>
      </c>
      <c r="F1316" s="3">
        <v>4.16</v>
      </c>
      <c r="G1316" s="4">
        <v>6805600</v>
      </c>
      <c r="H1316">
        <f t="shared" si="20"/>
        <v>8.7885885134562303E-2</v>
      </c>
      <c r="I1316">
        <f t="shared" si="21"/>
        <v>4.9886200860236082E-2</v>
      </c>
      <c r="J1316">
        <f t="shared" si="22"/>
        <v>0.79191888798000676</v>
      </c>
    </row>
    <row r="1317" spans="1:10" x14ac:dyDescent="0.3">
      <c r="A1317" s="1">
        <v>43915</v>
      </c>
      <c r="B1317" s="2">
        <v>4.1500000000000004</v>
      </c>
      <c r="C1317" s="2">
        <v>4.49</v>
      </c>
      <c r="D1317" s="2">
        <v>4.04</v>
      </c>
      <c r="E1317" s="2">
        <v>4.17</v>
      </c>
      <c r="F1317" s="3">
        <v>4.17</v>
      </c>
      <c r="G1317" s="4">
        <v>3592100</v>
      </c>
      <c r="H1317">
        <f t="shared" si="20"/>
        <v>2.4009615375380463E-3</v>
      </c>
      <c r="I1317">
        <f t="shared" si="21"/>
        <v>4.9859604911436518E-2</v>
      </c>
      <c r="J1317">
        <f t="shared" si="22"/>
        <v>0.791496690381574</v>
      </c>
    </row>
    <row r="1318" spans="1:10" x14ac:dyDescent="0.3">
      <c r="A1318" s="1">
        <v>43916</v>
      </c>
      <c r="B1318" s="2">
        <v>4.24</v>
      </c>
      <c r="C1318" s="2">
        <v>4.71</v>
      </c>
      <c r="D1318" s="2">
        <v>4.24</v>
      </c>
      <c r="E1318" s="2">
        <v>4.41</v>
      </c>
      <c r="F1318" s="3">
        <v>4.41</v>
      </c>
      <c r="G1318" s="4">
        <v>6185700</v>
      </c>
      <c r="H1318">
        <f t="shared" si="20"/>
        <v>5.5958653648044629E-2</v>
      </c>
      <c r="I1318">
        <f t="shared" si="21"/>
        <v>4.9977070314628683E-2</v>
      </c>
      <c r="J1318">
        <f t="shared" si="22"/>
        <v>0.79336139584857646</v>
      </c>
    </row>
    <row r="1319" spans="1:10" x14ac:dyDescent="0.3">
      <c r="A1319" s="1">
        <v>43917</v>
      </c>
      <c r="B1319" s="2">
        <v>4.9400000000000004</v>
      </c>
      <c r="C1319" s="2">
        <v>5.09</v>
      </c>
      <c r="D1319" s="2">
        <v>4.1500000000000004</v>
      </c>
      <c r="E1319" s="2">
        <v>4.22</v>
      </c>
      <c r="F1319" s="3">
        <v>4.22</v>
      </c>
      <c r="G1319" s="4">
        <v>7024800</v>
      </c>
      <c r="H1319">
        <f t="shared" si="20"/>
        <v>-4.4039561410834274E-2</v>
      </c>
      <c r="I1319">
        <f t="shared" si="21"/>
        <v>5.0042220965148092E-2</v>
      </c>
      <c r="J1319">
        <f t="shared" si="22"/>
        <v>0.79439563036274707</v>
      </c>
    </row>
    <row r="1320" spans="1:10" x14ac:dyDescent="0.3">
      <c r="A1320" s="1">
        <v>43920</v>
      </c>
      <c r="B1320" s="2">
        <v>4.22</v>
      </c>
      <c r="C1320" s="2">
        <v>4.2699999999999996</v>
      </c>
      <c r="D1320" s="2">
        <v>3.65</v>
      </c>
      <c r="E1320" s="2">
        <v>3.65</v>
      </c>
      <c r="F1320" s="3">
        <v>3.65</v>
      </c>
      <c r="G1320" s="4">
        <v>3350600</v>
      </c>
      <c r="H1320">
        <f t="shared" si="20"/>
        <v>-0.14510796045352031</v>
      </c>
      <c r="I1320">
        <f t="shared" si="21"/>
        <v>5.0826475971087255E-2</v>
      </c>
      <c r="J1320">
        <f t="shared" si="22"/>
        <v>0.80684529262378213</v>
      </c>
    </row>
    <row r="1321" spans="1:10" x14ac:dyDescent="0.3">
      <c r="A1321" s="1">
        <v>43921</v>
      </c>
      <c r="B1321" s="2">
        <v>3.63</v>
      </c>
      <c r="C1321" s="2">
        <v>3.8</v>
      </c>
      <c r="D1321" s="2">
        <v>3.5</v>
      </c>
      <c r="E1321" s="2">
        <v>3.5</v>
      </c>
      <c r="F1321" s="3">
        <v>3.5</v>
      </c>
      <c r="G1321" s="4">
        <v>2300900</v>
      </c>
      <c r="H1321">
        <f t="shared" si="20"/>
        <v>-4.1964199099032082E-2</v>
      </c>
      <c r="I1321">
        <f t="shared" si="21"/>
        <v>5.0882254230235346E-2</v>
      </c>
      <c r="J1321">
        <f t="shared" si="22"/>
        <v>0.80773074503740194</v>
      </c>
    </row>
    <row r="1322" spans="1:10" x14ac:dyDescent="0.3">
      <c r="A1322" s="1">
        <v>43922</v>
      </c>
      <c r="B1322" s="2">
        <v>3.45</v>
      </c>
      <c r="C1322" s="2">
        <v>3.49</v>
      </c>
      <c r="D1322" s="2">
        <v>3.12</v>
      </c>
      <c r="E1322" s="2">
        <v>3.25</v>
      </c>
      <c r="F1322" s="3">
        <v>3.25</v>
      </c>
      <c r="G1322" s="4">
        <v>4568700</v>
      </c>
      <c r="H1322">
        <f t="shared" si="20"/>
        <v>-7.4107972153721849E-2</v>
      </c>
      <c r="I1322">
        <f t="shared" si="21"/>
        <v>5.1047378174302424E-2</v>
      </c>
      <c r="J1322">
        <f t="shared" si="22"/>
        <v>0.81035200638642368</v>
      </c>
    </row>
    <row r="1323" spans="1:10" x14ac:dyDescent="0.3">
      <c r="A1323" s="1">
        <v>43923</v>
      </c>
      <c r="B1323" s="2">
        <v>3.26</v>
      </c>
      <c r="C1323" s="2">
        <v>3.35</v>
      </c>
      <c r="D1323" s="2">
        <v>2.85</v>
      </c>
      <c r="E1323" s="2">
        <v>2.85</v>
      </c>
      <c r="F1323" s="3">
        <v>2.85</v>
      </c>
      <c r="G1323" s="4">
        <v>4064300</v>
      </c>
      <c r="H1323">
        <f t="shared" si="20"/>
        <v>-0.13133600206108698</v>
      </c>
      <c r="I1323">
        <f t="shared" si="21"/>
        <v>5.1648128263649076E-2</v>
      </c>
      <c r="J1323">
        <f t="shared" si="22"/>
        <v>0.8198886184054901</v>
      </c>
    </row>
    <row r="1324" spans="1:10" x14ac:dyDescent="0.3">
      <c r="A1324" s="1">
        <v>43924</v>
      </c>
      <c r="B1324" s="2">
        <v>2.85</v>
      </c>
      <c r="C1324" s="2">
        <v>2.94</v>
      </c>
      <c r="D1324" s="2">
        <v>2.57</v>
      </c>
      <c r="E1324" s="2">
        <v>2.8</v>
      </c>
      <c r="F1324" s="3">
        <v>2.8</v>
      </c>
      <c r="G1324" s="4">
        <v>3830400</v>
      </c>
      <c r="H1324">
        <f t="shared" si="20"/>
        <v>-1.7699577099400975E-2</v>
      </c>
      <c r="I1324">
        <f t="shared" si="21"/>
        <v>5.1584263050821838E-2</v>
      </c>
      <c r="J1324">
        <f t="shared" si="22"/>
        <v>0.8188747895820756</v>
      </c>
    </row>
    <row r="1325" spans="1:10" x14ac:dyDescent="0.3">
      <c r="A1325" s="1">
        <v>43927</v>
      </c>
      <c r="B1325" s="2">
        <v>2.86</v>
      </c>
      <c r="C1325" s="2">
        <v>3.2</v>
      </c>
      <c r="D1325" s="2">
        <v>2.83</v>
      </c>
      <c r="E1325" s="2">
        <v>3.09</v>
      </c>
      <c r="F1325" s="3">
        <v>3.09</v>
      </c>
      <c r="G1325" s="4">
        <v>3340500</v>
      </c>
      <c r="H1325">
        <f t="shared" si="20"/>
        <v>9.8551673728495923E-2</v>
      </c>
      <c r="I1325">
        <f t="shared" si="21"/>
        <v>5.1914298673336745E-2</v>
      </c>
      <c r="J1325">
        <f t="shared" si="22"/>
        <v>0.82411394266787663</v>
      </c>
    </row>
    <row r="1326" spans="1:10" x14ac:dyDescent="0.3">
      <c r="A1326" s="1">
        <v>43928</v>
      </c>
      <c r="B1326" s="2">
        <v>3.39</v>
      </c>
      <c r="C1326" s="2">
        <v>3.44</v>
      </c>
      <c r="D1326" s="2">
        <v>3.1</v>
      </c>
      <c r="E1326" s="2">
        <v>3.27</v>
      </c>
      <c r="F1326" s="3">
        <v>3.27</v>
      </c>
      <c r="G1326" s="4">
        <v>2836900</v>
      </c>
      <c r="H1326">
        <f t="shared" si="20"/>
        <v>5.6618893999507904E-2</v>
      </c>
      <c r="I1326">
        <f t="shared" si="21"/>
        <v>5.2050871261736846E-2</v>
      </c>
      <c r="J1326">
        <f t="shared" si="22"/>
        <v>0.8262819652967669</v>
      </c>
    </row>
    <row r="1327" spans="1:10" x14ac:dyDescent="0.3">
      <c r="A1327" s="1">
        <v>43929</v>
      </c>
      <c r="B1327" s="2">
        <v>3.23</v>
      </c>
      <c r="C1327" s="2">
        <v>3.67</v>
      </c>
      <c r="D1327" s="2">
        <v>3.2</v>
      </c>
      <c r="E1327" s="2">
        <v>3.41</v>
      </c>
      <c r="F1327" s="3">
        <v>3.41</v>
      </c>
      <c r="G1327" s="4">
        <v>2884500</v>
      </c>
      <c r="H1327">
        <f t="shared" si="20"/>
        <v>4.1922306386263437E-2</v>
      </c>
      <c r="I1327">
        <f t="shared" si="21"/>
        <v>5.2126403199313893E-2</v>
      </c>
      <c r="J1327">
        <f t="shared" si="22"/>
        <v>0.8274809976339973</v>
      </c>
    </row>
    <row r="1328" spans="1:10" x14ac:dyDescent="0.3">
      <c r="A1328" s="1">
        <v>43930</v>
      </c>
      <c r="B1328" s="2">
        <v>3.6</v>
      </c>
      <c r="C1328" s="2">
        <v>4.25</v>
      </c>
      <c r="D1328" s="2">
        <v>3.49</v>
      </c>
      <c r="E1328" s="2">
        <v>3.89</v>
      </c>
      <c r="F1328" s="3">
        <v>3.89</v>
      </c>
      <c r="G1328" s="4">
        <v>5908600</v>
      </c>
      <c r="H1328">
        <f t="shared" si="20"/>
        <v>0.13169686633492958</v>
      </c>
      <c r="I1328">
        <f t="shared" si="21"/>
        <v>5.2819552437772935E-2</v>
      </c>
      <c r="J1328">
        <f t="shared" si="22"/>
        <v>0.83848440067249586</v>
      </c>
    </row>
    <row r="1329" spans="1:10" x14ac:dyDescent="0.3">
      <c r="A1329" s="1">
        <v>43934</v>
      </c>
      <c r="B1329" s="2">
        <v>4.25</v>
      </c>
      <c r="C1329" s="2">
        <v>4.76</v>
      </c>
      <c r="D1329" s="2">
        <v>4.16</v>
      </c>
      <c r="E1329" s="2">
        <v>4.74</v>
      </c>
      <c r="F1329" s="3">
        <v>4.74</v>
      </c>
      <c r="G1329" s="4">
        <v>6844500</v>
      </c>
      <c r="H1329">
        <f t="shared" si="20"/>
        <v>0.19762797807663024</v>
      </c>
      <c r="I1329">
        <f t="shared" si="21"/>
        <v>5.4302474965569482E-2</v>
      </c>
      <c r="J1329">
        <f t="shared" si="22"/>
        <v>0.86202506600524542</v>
      </c>
    </row>
    <row r="1330" spans="1:10" x14ac:dyDescent="0.3">
      <c r="A1330" s="1">
        <v>43935</v>
      </c>
      <c r="B1330" s="2">
        <v>5.21</v>
      </c>
      <c r="C1330" s="2">
        <v>6.47</v>
      </c>
      <c r="D1330" s="2">
        <v>5.14</v>
      </c>
      <c r="E1330" s="2">
        <v>5.95</v>
      </c>
      <c r="F1330" s="3">
        <v>5.95</v>
      </c>
      <c r="G1330" s="4">
        <v>13506600</v>
      </c>
      <c r="H1330">
        <f t="shared" si="20"/>
        <v>0.22735408385055317</v>
      </c>
      <c r="I1330">
        <f t="shared" si="21"/>
        <v>5.6186375674019129E-2</v>
      </c>
      <c r="J1330">
        <f t="shared" si="22"/>
        <v>0.8919310626210224</v>
      </c>
    </row>
    <row r="1331" spans="1:10" x14ac:dyDescent="0.3">
      <c r="A1331" s="1">
        <v>43936</v>
      </c>
      <c r="B1331" s="2">
        <v>5.66</v>
      </c>
      <c r="C1331" s="2">
        <v>5.67</v>
      </c>
      <c r="D1331" s="2">
        <v>4.9000000000000004</v>
      </c>
      <c r="E1331" s="2">
        <v>5.27</v>
      </c>
      <c r="F1331" s="3">
        <v>5.27</v>
      </c>
      <c r="G1331" s="4">
        <v>7499900</v>
      </c>
      <c r="H1331">
        <f t="shared" si="20"/>
        <v>-0.1213608570042676</v>
      </c>
      <c r="I1331">
        <f t="shared" si="21"/>
        <v>5.661849591515683E-2</v>
      </c>
      <c r="J1331">
        <f t="shared" si="22"/>
        <v>0.89879075878818815</v>
      </c>
    </row>
    <row r="1332" spans="1:10" x14ac:dyDescent="0.3">
      <c r="A1332" s="1">
        <v>43937</v>
      </c>
      <c r="B1332" s="2">
        <v>5.12</v>
      </c>
      <c r="C1332" s="2">
        <v>5.44</v>
      </c>
      <c r="D1332" s="2">
        <v>4.88</v>
      </c>
      <c r="E1332" s="2">
        <v>5.03</v>
      </c>
      <c r="F1332" s="3">
        <v>5.03</v>
      </c>
      <c r="G1332" s="4">
        <v>3371900</v>
      </c>
      <c r="H1332">
        <f t="shared" si="20"/>
        <v>-4.6610378441622996E-2</v>
      </c>
      <c r="I1332">
        <f t="shared" si="21"/>
        <v>5.6633112863756767E-2</v>
      </c>
      <c r="J1332">
        <f t="shared" si="22"/>
        <v>0.89902279565372045</v>
      </c>
    </row>
    <row r="1333" spans="1:10" x14ac:dyDescent="0.3">
      <c r="A1333" s="1">
        <v>43938</v>
      </c>
      <c r="B1333" s="2">
        <v>5.22</v>
      </c>
      <c r="C1333" s="2">
        <v>5.28</v>
      </c>
      <c r="D1333" s="2">
        <v>4.43</v>
      </c>
      <c r="E1333" s="2">
        <v>4.88</v>
      </c>
      <c r="F1333" s="3">
        <v>4.88</v>
      </c>
      <c r="G1333" s="4">
        <v>5653200</v>
      </c>
      <c r="H1333">
        <f t="shared" si="20"/>
        <v>-3.0274764246592079E-2</v>
      </c>
      <c r="I1333">
        <f t="shared" si="21"/>
        <v>5.6649175168171251E-2</v>
      </c>
      <c r="J1333">
        <f t="shared" si="22"/>
        <v>0.89927777683150045</v>
      </c>
    </row>
    <row r="1334" spans="1:10" x14ac:dyDescent="0.3">
      <c r="A1334" s="1">
        <v>43941</v>
      </c>
      <c r="B1334" s="2">
        <v>4.8499999999999996</v>
      </c>
      <c r="C1334" s="2">
        <v>5.9</v>
      </c>
      <c r="D1334" s="2">
        <v>4.78</v>
      </c>
      <c r="E1334" s="2">
        <v>5.61</v>
      </c>
      <c r="F1334" s="3">
        <v>5.61</v>
      </c>
      <c r="G1334" s="4">
        <v>6085000</v>
      </c>
      <c r="H1334">
        <f t="shared" si="20"/>
        <v>0.13940549966954927</v>
      </c>
      <c r="I1334">
        <f t="shared" si="21"/>
        <v>5.7340483383689161E-2</v>
      </c>
      <c r="J1334">
        <f t="shared" si="22"/>
        <v>0.91025195453683783</v>
      </c>
    </row>
    <row r="1335" spans="1:10" x14ac:dyDescent="0.3">
      <c r="A1335" s="1">
        <v>43942</v>
      </c>
      <c r="B1335" s="2">
        <v>5.23</v>
      </c>
      <c r="C1335" s="2">
        <v>5.3</v>
      </c>
      <c r="D1335" s="2">
        <v>4.76</v>
      </c>
      <c r="E1335" s="2">
        <v>4.78</v>
      </c>
      <c r="F1335" s="3">
        <v>4.78</v>
      </c>
      <c r="G1335" s="4">
        <v>4142100</v>
      </c>
      <c r="H1335">
        <f t="shared" si="20"/>
        <v>-0.16011017303124034</v>
      </c>
      <c r="I1335">
        <f t="shared" si="21"/>
        <v>5.8187836949310685E-2</v>
      </c>
      <c r="J1335">
        <f t="shared" si="22"/>
        <v>0.92370327537990826</v>
      </c>
    </row>
    <row r="1336" spans="1:10" x14ac:dyDescent="0.3">
      <c r="A1336" s="1">
        <v>43943</v>
      </c>
      <c r="B1336" s="2">
        <v>5.14</v>
      </c>
      <c r="C1336" s="2">
        <v>5.17</v>
      </c>
      <c r="D1336" s="2">
        <v>4.83</v>
      </c>
      <c r="E1336" s="2">
        <v>4.8899999999999997</v>
      </c>
      <c r="F1336" s="3">
        <v>4.8899999999999997</v>
      </c>
      <c r="G1336" s="4">
        <v>2677800</v>
      </c>
      <c r="H1336">
        <f t="shared" si="20"/>
        <v>2.2751756983416027E-2</v>
      </c>
      <c r="I1336">
        <f t="shared" si="21"/>
        <v>5.8204808844114636E-2</v>
      </c>
      <c r="J1336">
        <f t="shared" si="22"/>
        <v>0.9239726958574811</v>
      </c>
    </row>
    <row r="1337" spans="1:10" x14ac:dyDescent="0.3">
      <c r="A1337" s="1">
        <v>43944</v>
      </c>
      <c r="B1337" s="2">
        <v>4.75</v>
      </c>
      <c r="C1337" s="2">
        <v>4.8899999999999997</v>
      </c>
      <c r="D1337" s="2">
        <v>4.58</v>
      </c>
      <c r="E1337" s="2">
        <v>4.7</v>
      </c>
      <c r="F1337" s="3">
        <v>4.7</v>
      </c>
      <c r="G1337" s="4">
        <v>2265900</v>
      </c>
      <c r="H1337">
        <f t="shared" si="20"/>
        <v>-3.9629794770767598E-2</v>
      </c>
      <c r="I1337">
        <f t="shared" si="21"/>
        <v>5.8221908838238551E-2</v>
      </c>
      <c r="J1337">
        <f t="shared" si="22"/>
        <v>0.92424414984871639</v>
      </c>
    </row>
    <row r="1338" spans="1:10" x14ac:dyDescent="0.3">
      <c r="A1338" s="1">
        <v>43945</v>
      </c>
      <c r="B1338" s="2">
        <v>4.78</v>
      </c>
      <c r="C1338" s="2">
        <v>4.8499999999999996</v>
      </c>
      <c r="D1338" s="2">
        <v>4.66</v>
      </c>
      <c r="E1338" s="2">
        <v>4.7699999999999996</v>
      </c>
      <c r="F1338" s="3">
        <v>4.7699999999999996</v>
      </c>
      <c r="G1338" s="4">
        <v>2236200</v>
      </c>
      <c r="H1338">
        <f t="shared" si="20"/>
        <v>1.4783796184236912E-2</v>
      </c>
      <c r="I1338">
        <f t="shared" si="21"/>
        <v>5.822346655027897E-2</v>
      </c>
      <c r="J1338">
        <f t="shared" si="22"/>
        <v>0.92426887776075561</v>
      </c>
    </row>
    <row r="1339" spans="1:10" x14ac:dyDescent="0.3">
      <c r="A1339" s="1">
        <v>43948</v>
      </c>
      <c r="B1339" s="2">
        <v>4.8499999999999996</v>
      </c>
      <c r="C1339" s="2">
        <v>5.99</v>
      </c>
      <c r="D1339" s="2">
        <v>4.8099999999999996</v>
      </c>
      <c r="E1339" s="2">
        <v>5.82</v>
      </c>
      <c r="F1339" s="3">
        <v>5.82</v>
      </c>
      <c r="G1339" s="4">
        <v>7275100</v>
      </c>
      <c r="H1339">
        <f t="shared" si="20"/>
        <v>0.19895395684309675</v>
      </c>
      <c r="I1339">
        <f t="shared" si="21"/>
        <v>5.9584463956694381E-2</v>
      </c>
      <c r="J1339">
        <f t="shared" si="22"/>
        <v>0.9458740417950301</v>
      </c>
    </row>
    <row r="1340" spans="1:10" x14ac:dyDescent="0.3">
      <c r="A1340" s="1">
        <v>43949</v>
      </c>
      <c r="B1340" s="2">
        <v>5.92</v>
      </c>
      <c r="C1340" s="2">
        <v>6.04</v>
      </c>
      <c r="D1340" s="2">
        <v>5.0599999999999996</v>
      </c>
      <c r="E1340" s="2">
        <v>5.64</v>
      </c>
      <c r="F1340" s="3">
        <v>5.64</v>
      </c>
      <c r="G1340" s="4">
        <v>5200200</v>
      </c>
      <c r="H1340">
        <f t="shared" si="20"/>
        <v>-3.1416196233379039E-2</v>
      </c>
      <c r="I1340">
        <f t="shared" si="21"/>
        <v>5.9612939061154328E-2</v>
      </c>
      <c r="J1340">
        <f t="shared" si="22"/>
        <v>0.94632607006477565</v>
      </c>
    </row>
    <row r="1341" spans="1:10" x14ac:dyDescent="0.3">
      <c r="A1341" s="1">
        <v>43950</v>
      </c>
      <c r="B1341" s="2">
        <v>5.83</v>
      </c>
      <c r="C1341" s="2">
        <v>6.09</v>
      </c>
      <c r="D1341" s="2">
        <v>5.45</v>
      </c>
      <c r="E1341" s="2">
        <v>6.04</v>
      </c>
      <c r="F1341" s="3">
        <v>6.04</v>
      </c>
      <c r="G1341" s="4">
        <v>3369600</v>
      </c>
      <c r="H1341">
        <f t="shared" si="20"/>
        <v>6.8519946436756143E-2</v>
      </c>
      <c r="I1341">
        <f t="shared" si="21"/>
        <v>5.9770828276786724E-2</v>
      </c>
      <c r="J1341">
        <f t="shared" si="22"/>
        <v>0.94883248366034989</v>
      </c>
    </row>
    <row r="1342" spans="1:10" x14ac:dyDescent="0.3">
      <c r="A1342" s="1">
        <v>43951</v>
      </c>
      <c r="B1342" s="2">
        <v>5.87</v>
      </c>
      <c r="C1342" s="2">
        <v>5.98</v>
      </c>
      <c r="D1342" s="2">
        <v>5.64</v>
      </c>
      <c r="E1342" s="2">
        <v>5.73</v>
      </c>
      <c r="F1342" s="3">
        <v>5.73</v>
      </c>
      <c r="G1342" s="4">
        <v>2173300</v>
      </c>
      <c r="H1342">
        <f t="shared" si="20"/>
        <v>-5.268848122007537E-2</v>
      </c>
      <c r="I1342">
        <f t="shared" si="21"/>
        <v>5.9853505656843137E-2</v>
      </c>
      <c r="J1342">
        <f t="shared" si="22"/>
        <v>0.95014494638042779</v>
      </c>
    </row>
    <row r="1343" spans="1:10" x14ac:dyDescent="0.3">
      <c r="A1343" s="1">
        <v>43952</v>
      </c>
      <c r="B1343" s="2">
        <v>5.65</v>
      </c>
      <c r="C1343" s="2">
        <v>6.18</v>
      </c>
      <c r="D1343" s="2">
        <v>5.45</v>
      </c>
      <c r="E1343" s="2">
        <v>6.05</v>
      </c>
      <c r="F1343" s="3">
        <v>6.05</v>
      </c>
      <c r="G1343" s="4">
        <v>4005600</v>
      </c>
      <c r="H1343">
        <f t="shared" si="20"/>
        <v>5.4342741316101811E-2</v>
      </c>
      <c r="I1343">
        <f t="shared" si="21"/>
        <v>5.9949469731823822E-2</v>
      </c>
      <c r="J1343">
        <f t="shared" si="22"/>
        <v>0.9516683288435992</v>
      </c>
    </row>
    <row r="1344" spans="1:10" x14ac:dyDescent="0.3">
      <c r="A1344" s="1">
        <v>43955</v>
      </c>
      <c r="B1344" s="2">
        <v>5.84</v>
      </c>
      <c r="C1344" s="2">
        <v>5.93</v>
      </c>
      <c r="D1344" s="2">
        <v>5.4</v>
      </c>
      <c r="E1344" s="2">
        <v>5.48</v>
      </c>
      <c r="F1344" s="3">
        <v>5.48</v>
      </c>
      <c r="G1344" s="4">
        <v>4068100</v>
      </c>
      <c r="H1344">
        <f t="shared" si="20"/>
        <v>-9.895317108282585E-2</v>
      </c>
      <c r="I1344">
        <f t="shared" si="21"/>
        <v>6.0229216848868922E-2</v>
      </c>
      <c r="J1344">
        <f t="shared" si="22"/>
        <v>0.95610917665373096</v>
      </c>
    </row>
    <row r="1345" spans="1:10" x14ac:dyDescent="0.3">
      <c r="A1345" s="1">
        <v>43956</v>
      </c>
      <c r="B1345" s="2">
        <v>5.55</v>
      </c>
      <c r="C1345" s="2">
        <v>5.63</v>
      </c>
      <c r="D1345" s="2">
        <v>5.35</v>
      </c>
      <c r="E1345" s="2">
        <v>5.39</v>
      </c>
      <c r="F1345" s="3">
        <v>5.39</v>
      </c>
      <c r="G1345" s="4">
        <v>2105900</v>
      </c>
      <c r="H1345">
        <f t="shared" si="20"/>
        <v>-1.6559716039018558E-2</v>
      </c>
      <c r="I1345">
        <f t="shared" si="21"/>
        <v>6.0216511100939021E-2</v>
      </c>
      <c r="J1345">
        <f t="shared" si="22"/>
        <v>0.95590747915826935</v>
      </c>
    </row>
    <row r="1346" spans="1:10" x14ac:dyDescent="0.3">
      <c r="A1346" s="1">
        <v>43957</v>
      </c>
      <c r="B1346" s="2">
        <v>5.4</v>
      </c>
      <c r="C1346" s="2">
        <v>5.4</v>
      </c>
      <c r="D1346" s="2">
        <v>4.9000000000000004</v>
      </c>
      <c r="E1346" s="2">
        <v>4.93</v>
      </c>
      <c r="F1346" s="3">
        <v>4.93</v>
      </c>
      <c r="G1346" s="4">
        <v>3369600</v>
      </c>
      <c r="H1346">
        <f t="shared" si="20"/>
        <v>-8.9206396866307089E-2</v>
      </c>
      <c r="I1346">
        <f t="shared" si="21"/>
        <v>6.0461448803902092E-2</v>
      </c>
      <c r="J1346">
        <f t="shared" si="22"/>
        <v>0.95979574465073159</v>
      </c>
    </row>
    <row r="1347" spans="1:10" x14ac:dyDescent="0.3">
      <c r="A1347" s="1">
        <v>43958</v>
      </c>
      <c r="B1347" s="2">
        <v>4.83</v>
      </c>
      <c r="C1347" s="2">
        <v>4.93</v>
      </c>
      <c r="D1347" s="2">
        <v>4.6500000000000004</v>
      </c>
      <c r="E1347" s="2">
        <v>4.87</v>
      </c>
      <c r="F1347" s="3">
        <v>4.87</v>
      </c>
      <c r="G1347" s="4">
        <v>2500800</v>
      </c>
      <c r="H1347">
        <f t="shared" si="20"/>
        <v>-1.2245050960100288E-2</v>
      </c>
      <c r="I1347">
        <f t="shared" si="21"/>
        <v>6.04631817375905E-2</v>
      </c>
      <c r="J1347">
        <f t="shared" si="22"/>
        <v>0.95982325412020009</v>
      </c>
    </row>
    <row r="1348" spans="1:10" x14ac:dyDescent="0.3">
      <c r="A1348" s="1">
        <v>43959</v>
      </c>
      <c r="B1348" s="2">
        <v>4.88</v>
      </c>
      <c r="C1348" s="2">
        <v>5.19</v>
      </c>
      <c r="D1348" s="2">
        <v>4.82</v>
      </c>
      <c r="E1348" s="2">
        <v>4.9800000000000004</v>
      </c>
      <c r="F1348" s="3">
        <v>4.9800000000000004</v>
      </c>
      <c r="G1348" s="4">
        <v>2353700</v>
      </c>
      <c r="H1348">
        <f t="shared" ref="H1348:H1411" si="23">LN(E1348/E1347)</f>
        <v>2.2335953942063298E-2</v>
      </c>
      <c r="I1348">
        <f t="shared" si="21"/>
        <v>6.0481472771621927E-2</v>
      </c>
      <c r="J1348">
        <f t="shared" si="22"/>
        <v>0.96011361528381634</v>
      </c>
    </row>
    <row r="1349" spans="1:10" x14ac:dyDescent="0.3">
      <c r="A1349" s="1">
        <v>43962</v>
      </c>
      <c r="B1349" s="2">
        <v>4.92</v>
      </c>
      <c r="C1349" s="2">
        <v>4.96</v>
      </c>
      <c r="D1349" s="2">
        <v>4.75</v>
      </c>
      <c r="E1349" s="2">
        <v>4.76</v>
      </c>
      <c r="F1349" s="3">
        <v>4.76</v>
      </c>
      <c r="G1349" s="4">
        <v>1699200</v>
      </c>
      <c r="H1349">
        <f t="shared" si="23"/>
        <v>-4.5182222793233029E-2</v>
      </c>
      <c r="I1349">
        <f t="shared" si="21"/>
        <v>6.0531862514974472E-2</v>
      </c>
      <c r="J1349">
        <f t="shared" si="22"/>
        <v>0.96091352766105154</v>
      </c>
    </row>
    <row r="1350" spans="1:10" x14ac:dyDescent="0.3">
      <c r="A1350" s="1">
        <v>43963</v>
      </c>
      <c r="B1350" s="2">
        <v>4.78</v>
      </c>
      <c r="C1350" s="2">
        <v>4.92</v>
      </c>
      <c r="D1350" s="2">
        <v>4.46</v>
      </c>
      <c r="E1350" s="2">
        <v>4.54</v>
      </c>
      <c r="F1350" s="3">
        <v>4.54</v>
      </c>
      <c r="G1350" s="4">
        <v>2639200</v>
      </c>
      <c r="H1350">
        <f t="shared" si="23"/>
        <v>-4.7320656190071961E-2</v>
      </c>
      <c r="I1350">
        <f t="shared" si="21"/>
        <v>6.0597835441438028E-2</v>
      </c>
      <c r="J1350">
        <f t="shared" si="22"/>
        <v>0.96196081540116585</v>
      </c>
    </row>
    <row r="1351" spans="1:10" x14ac:dyDescent="0.3">
      <c r="A1351" s="1">
        <v>43964</v>
      </c>
      <c r="B1351" s="2">
        <v>4.54</v>
      </c>
      <c r="C1351" s="2">
        <v>4.54</v>
      </c>
      <c r="D1351" s="2">
        <v>4.07</v>
      </c>
      <c r="E1351" s="2">
        <v>4.21</v>
      </c>
      <c r="F1351" s="3">
        <v>4.21</v>
      </c>
      <c r="G1351" s="4">
        <v>2882900</v>
      </c>
      <c r="H1351">
        <f t="shared" si="23"/>
        <v>-7.5464364358966571E-2</v>
      </c>
      <c r="I1351">
        <f t="shared" si="21"/>
        <v>6.0753211493754351E-2</v>
      </c>
      <c r="J1351">
        <f t="shared" si="22"/>
        <v>0.96442733376590961</v>
      </c>
    </row>
    <row r="1352" spans="1:10" x14ac:dyDescent="0.3">
      <c r="A1352" s="1">
        <v>43965</v>
      </c>
      <c r="B1352" s="2">
        <v>4.1500000000000004</v>
      </c>
      <c r="C1352" s="2">
        <v>4.1900000000000004</v>
      </c>
      <c r="D1352" s="2">
        <v>3.96</v>
      </c>
      <c r="E1352" s="2">
        <v>4.13</v>
      </c>
      <c r="F1352" s="3">
        <v>4.13</v>
      </c>
      <c r="G1352" s="4">
        <v>2004900</v>
      </c>
      <c r="H1352">
        <f t="shared" si="23"/>
        <v>-1.9185240721348727E-2</v>
      </c>
      <c r="I1352">
        <f t="shared" si="21"/>
        <v>6.0722161300157076E-2</v>
      </c>
      <c r="J1352">
        <f t="shared" si="22"/>
        <v>0.96393442722339684</v>
      </c>
    </row>
    <row r="1353" spans="1:10" x14ac:dyDescent="0.3">
      <c r="A1353" s="1">
        <v>43966</v>
      </c>
      <c r="B1353" s="2">
        <v>4.05</v>
      </c>
      <c r="C1353" s="2">
        <v>4.45</v>
      </c>
      <c r="D1353" s="2">
        <v>4.04</v>
      </c>
      <c r="E1353" s="2">
        <v>4.22</v>
      </c>
      <c r="F1353" s="3">
        <v>4.22</v>
      </c>
      <c r="G1353" s="4">
        <v>1940600</v>
      </c>
      <c r="H1353">
        <f t="shared" si="23"/>
        <v>2.1557721074979056E-2</v>
      </c>
      <c r="I1353">
        <f t="shared" si="21"/>
        <v>6.0726618200017679E-2</v>
      </c>
      <c r="J1353">
        <f t="shared" si="22"/>
        <v>0.96400517831529364</v>
      </c>
    </row>
    <row r="1354" spans="1:10" x14ac:dyDescent="0.3">
      <c r="A1354" s="1">
        <v>43969</v>
      </c>
      <c r="B1354" s="2">
        <v>4.4000000000000004</v>
      </c>
      <c r="C1354" s="2">
        <v>4.63</v>
      </c>
      <c r="D1354" s="2">
        <v>4.3600000000000003</v>
      </c>
      <c r="E1354" s="2">
        <v>4.58</v>
      </c>
      <c r="F1354" s="3">
        <v>4.58</v>
      </c>
      <c r="G1354" s="4">
        <v>2371700</v>
      </c>
      <c r="H1354">
        <f t="shared" si="23"/>
        <v>8.186387007817314E-2</v>
      </c>
      <c r="I1354">
        <f t="shared" si="21"/>
        <v>6.0959750626267815E-2</v>
      </c>
      <c r="J1354">
        <f t="shared" si="22"/>
        <v>0.96770604084971146</v>
      </c>
    </row>
    <row r="1355" spans="1:10" x14ac:dyDescent="0.3">
      <c r="A1355" s="1">
        <v>43970</v>
      </c>
      <c r="B1355" s="2">
        <v>4.58</v>
      </c>
      <c r="C1355" s="2">
        <v>4.75</v>
      </c>
      <c r="D1355" s="2">
        <v>4.37</v>
      </c>
      <c r="E1355" s="2">
        <v>4.4400000000000004</v>
      </c>
      <c r="F1355" s="3">
        <v>4.4400000000000004</v>
      </c>
      <c r="G1355" s="4">
        <v>1840700</v>
      </c>
      <c r="H1355">
        <f t="shared" si="23"/>
        <v>-3.1044621681960163E-2</v>
      </c>
      <c r="I1355">
        <f t="shared" si="21"/>
        <v>6.0985512451101599E-2</v>
      </c>
      <c r="J1355">
        <f t="shared" si="22"/>
        <v>0.96811499714068783</v>
      </c>
    </row>
    <row r="1356" spans="1:10" x14ac:dyDescent="0.3">
      <c r="A1356" s="1">
        <v>43971</v>
      </c>
      <c r="B1356" s="2">
        <v>4.5</v>
      </c>
      <c r="C1356" s="2">
        <v>4.6900000000000004</v>
      </c>
      <c r="D1356" s="2">
        <v>4.34</v>
      </c>
      <c r="E1356" s="2">
        <v>4.43</v>
      </c>
      <c r="F1356" s="3">
        <v>4.43</v>
      </c>
      <c r="G1356" s="4">
        <v>2543600</v>
      </c>
      <c r="H1356">
        <f t="shared" si="23"/>
        <v>-2.2547923870893162E-3</v>
      </c>
      <c r="I1356">
        <f t="shared" si="21"/>
        <v>6.085410697108757E-2</v>
      </c>
      <c r="J1356">
        <f t="shared" si="22"/>
        <v>0.96602899981451873</v>
      </c>
    </row>
    <row r="1357" spans="1:10" x14ac:dyDescent="0.3">
      <c r="A1357" s="1">
        <v>43972</v>
      </c>
      <c r="B1357" s="2">
        <v>4.45</v>
      </c>
      <c r="C1357" s="2">
        <v>4.6500000000000004</v>
      </c>
      <c r="D1357" s="2">
        <v>4.4000000000000004</v>
      </c>
      <c r="E1357" s="2">
        <v>4.4400000000000004</v>
      </c>
      <c r="F1357" s="3">
        <v>4.4400000000000004</v>
      </c>
      <c r="G1357" s="4">
        <v>1971900</v>
      </c>
      <c r="H1357">
        <f t="shared" si="23"/>
        <v>2.2547923870893044E-3</v>
      </c>
      <c r="I1357">
        <f t="shared" si="21"/>
        <v>6.0850843164190781E-2</v>
      </c>
      <c r="J1357">
        <f t="shared" si="22"/>
        <v>0.96597718848626124</v>
      </c>
    </row>
    <row r="1358" spans="1:10" x14ac:dyDescent="0.3">
      <c r="A1358" s="1">
        <v>43973</v>
      </c>
      <c r="B1358" s="2">
        <v>4.46</v>
      </c>
      <c r="C1358" s="2">
        <v>4.49</v>
      </c>
      <c r="D1358" s="2">
        <v>4.13</v>
      </c>
      <c r="E1358" s="2">
        <v>4.18</v>
      </c>
      <c r="F1358" s="3">
        <v>4.18</v>
      </c>
      <c r="G1358" s="4">
        <v>2379900</v>
      </c>
      <c r="H1358">
        <f t="shared" si="23"/>
        <v>-6.034312990746863E-2</v>
      </c>
      <c r="I1358">
        <f t="shared" si="21"/>
        <v>6.0937593537645253E-2</v>
      </c>
      <c r="J1358">
        <f t="shared" si="22"/>
        <v>0.96735430797207633</v>
      </c>
    </row>
    <row r="1359" spans="1:10" x14ac:dyDescent="0.3">
      <c r="A1359" s="1">
        <v>43977</v>
      </c>
      <c r="B1359" s="2">
        <v>4.34</v>
      </c>
      <c r="C1359" s="2">
        <v>4.6100000000000003</v>
      </c>
      <c r="D1359" s="2">
        <v>4.33</v>
      </c>
      <c r="E1359" s="2">
        <v>4.42</v>
      </c>
      <c r="F1359" s="3">
        <v>4.42</v>
      </c>
      <c r="G1359" s="4">
        <v>3545700</v>
      </c>
      <c r="H1359">
        <f t="shared" si="23"/>
        <v>5.5828449552941889E-2</v>
      </c>
      <c r="I1359">
        <f t="shared" si="21"/>
        <v>6.1030091693724767E-2</v>
      </c>
      <c r="J1359">
        <f t="shared" si="22"/>
        <v>0.9688226706783869</v>
      </c>
    </row>
    <row r="1360" spans="1:10" x14ac:dyDescent="0.3">
      <c r="A1360" s="1">
        <v>43978</v>
      </c>
      <c r="B1360" s="2">
        <v>4.57</v>
      </c>
      <c r="C1360" s="2">
        <v>4.71</v>
      </c>
      <c r="D1360" s="2">
        <v>4.3600000000000003</v>
      </c>
      <c r="E1360" s="2">
        <v>4.6900000000000004</v>
      </c>
      <c r="F1360" s="3">
        <v>4.6900000000000004</v>
      </c>
      <c r="G1360" s="4">
        <v>3146600</v>
      </c>
      <c r="H1360">
        <f t="shared" si="23"/>
        <v>5.9292886368581245E-2</v>
      </c>
      <c r="I1360">
        <f t="shared" si="21"/>
        <v>6.1142514964342809E-2</v>
      </c>
      <c r="J1360">
        <f t="shared" si="22"/>
        <v>0.97060733477217809</v>
      </c>
    </row>
    <row r="1361" spans="1:10" x14ac:dyDescent="0.3">
      <c r="A1361" s="1">
        <v>43979</v>
      </c>
      <c r="B1361" s="2">
        <v>4.75</v>
      </c>
      <c r="C1361" s="2">
        <v>4.76</v>
      </c>
      <c r="D1361" s="2">
        <v>4.3</v>
      </c>
      <c r="E1361" s="2">
        <v>4.33</v>
      </c>
      <c r="F1361" s="3">
        <v>4.33</v>
      </c>
      <c r="G1361" s="4">
        <v>2183900</v>
      </c>
      <c r="H1361">
        <f t="shared" si="23"/>
        <v>-7.9865040443789573E-2</v>
      </c>
      <c r="I1361">
        <f t="shared" si="21"/>
        <v>6.1336016083885739E-2</v>
      </c>
      <c r="J1361">
        <f t="shared" si="22"/>
        <v>0.97367906981651708</v>
      </c>
    </row>
    <row r="1362" spans="1:10" x14ac:dyDescent="0.3">
      <c r="A1362" s="1">
        <v>43980</v>
      </c>
      <c r="B1362" s="2">
        <v>4.33</v>
      </c>
      <c r="C1362" s="2">
        <v>4.42</v>
      </c>
      <c r="D1362" s="2">
        <v>4.05</v>
      </c>
      <c r="E1362" s="2">
        <v>4.0599999999999996</v>
      </c>
      <c r="F1362" s="3">
        <v>4.0599999999999996</v>
      </c>
      <c r="G1362" s="4">
        <v>3973500</v>
      </c>
      <c r="H1362">
        <f t="shared" si="23"/>
        <v>-6.4384568400757333E-2</v>
      </c>
      <c r="I1362">
        <f t="shared" ref="I1362:I1425" si="24">_xlfn.STDEV.S(H1110:H1362)</f>
        <v>6.1447564301597181E-2</v>
      </c>
      <c r="J1362">
        <f t="shared" ref="J1362:J1425" si="25">I1362*SQRT(252)</f>
        <v>0.97544984287605885</v>
      </c>
    </row>
    <row r="1363" spans="1:10" x14ac:dyDescent="0.3">
      <c r="A1363" s="1">
        <v>43983</v>
      </c>
      <c r="B1363" s="2">
        <v>4.12</v>
      </c>
      <c r="C1363" s="2">
        <v>4.3600000000000003</v>
      </c>
      <c r="D1363" s="2">
        <v>4.0199999999999996</v>
      </c>
      <c r="E1363" s="2">
        <v>4.13</v>
      </c>
      <c r="F1363" s="3">
        <v>4.13</v>
      </c>
      <c r="G1363" s="4">
        <v>2611600</v>
      </c>
      <c r="H1363">
        <f t="shared" si="23"/>
        <v>1.7094433359300255E-2</v>
      </c>
      <c r="I1363">
        <f t="shared" si="24"/>
        <v>6.145856135142156E-2</v>
      </c>
      <c r="J1363">
        <f t="shared" si="25"/>
        <v>0.97562441563000302</v>
      </c>
    </row>
    <row r="1364" spans="1:10" x14ac:dyDescent="0.3">
      <c r="A1364" s="1">
        <v>43984</v>
      </c>
      <c r="B1364" s="2">
        <v>4.2699999999999996</v>
      </c>
      <c r="C1364" s="2">
        <v>4.3099999999999996</v>
      </c>
      <c r="D1364" s="2">
        <v>4.0599999999999996</v>
      </c>
      <c r="E1364" s="2">
        <v>4.18</v>
      </c>
      <c r="F1364" s="3">
        <v>4.18</v>
      </c>
      <c r="G1364" s="4">
        <v>2369400</v>
      </c>
      <c r="H1364">
        <f t="shared" si="23"/>
        <v>1.2033839563723463E-2</v>
      </c>
      <c r="I1364">
        <f t="shared" si="24"/>
        <v>6.1465267649514099E-2</v>
      </c>
      <c r="J1364">
        <f t="shared" si="25"/>
        <v>0.97573087481182741</v>
      </c>
    </row>
    <row r="1365" spans="1:10" x14ac:dyDescent="0.3">
      <c r="A1365" s="1">
        <v>43985</v>
      </c>
      <c r="B1365" s="2">
        <v>4.24</v>
      </c>
      <c r="C1365" s="2">
        <v>4.5199999999999996</v>
      </c>
      <c r="D1365" s="2">
        <v>4.2</v>
      </c>
      <c r="E1365" s="2">
        <v>4.4400000000000004</v>
      </c>
      <c r="F1365" s="3">
        <v>4.4400000000000004</v>
      </c>
      <c r="G1365" s="4">
        <v>3037400</v>
      </c>
      <c r="H1365">
        <f t="shared" si="23"/>
        <v>6.0343129907468644E-2</v>
      </c>
      <c r="I1365">
        <f t="shared" si="24"/>
        <v>6.1586461223104856E-2</v>
      </c>
      <c r="J1365">
        <f t="shared" si="25"/>
        <v>0.97765476314914945</v>
      </c>
    </row>
    <row r="1366" spans="1:10" x14ac:dyDescent="0.3">
      <c r="A1366" s="1">
        <v>43986</v>
      </c>
      <c r="B1366" s="2">
        <v>4.4400000000000004</v>
      </c>
      <c r="C1366" s="2">
        <v>4.72</v>
      </c>
      <c r="D1366" s="2">
        <v>4.37</v>
      </c>
      <c r="E1366" s="2">
        <v>4.47</v>
      </c>
      <c r="F1366" s="3">
        <v>4.47</v>
      </c>
      <c r="G1366" s="4">
        <v>3514300</v>
      </c>
      <c r="H1366">
        <f t="shared" si="23"/>
        <v>6.7340321813438991E-3</v>
      </c>
      <c r="I1366">
        <f t="shared" si="24"/>
        <v>6.151496307816539E-2</v>
      </c>
      <c r="J1366">
        <f t="shared" si="25"/>
        <v>0.97651976528487583</v>
      </c>
    </row>
    <row r="1367" spans="1:10" x14ac:dyDescent="0.3">
      <c r="A1367" s="1">
        <v>43987</v>
      </c>
      <c r="B1367" s="2">
        <v>4.29</v>
      </c>
      <c r="C1367" s="2">
        <v>4.41</v>
      </c>
      <c r="D1367" s="2">
        <v>4.09</v>
      </c>
      <c r="E1367" s="2">
        <v>4.1399999999999997</v>
      </c>
      <c r="F1367" s="3">
        <v>4.1399999999999997</v>
      </c>
      <c r="G1367" s="4">
        <v>6274400</v>
      </c>
      <c r="H1367">
        <f t="shared" si="23"/>
        <v>-7.6692620788254451E-2</v>
      </c>
      <c r="I1367">
        <f t="shared" si="24"/>
        <v>5.5190525018000265E-2</v>
      </c>
      <c r="J1367">
        <f t="shared" si="25"/>
        <v>0.87612242354830372</v>
      </c>
    </row>
    <row r="1368" spans="1:10" x14ac:dyDescent="0.3">
      <c r="A1368" s="1">
        <v>43990</v>
      </c>
      <c r="B1368" s="2">
        <v>4.28</v>
      </c>
      <c r="C1368" s="2">
        <v>5.14</v>
      </c>
      <c r="D1368" s="2">
        <v>4.2699999999999996</v>
      </c>
      <c r="E1368" s="2">
        <v>5.01</v>
      </c>
      <c r="F1368" s="3">
        <v>5.01</v>
      </c>
      <c r="G1368" s="4">
        <v>10133700</v>
      </c>
      <c r="H1368">
        <f t="shared" si="23"/>
        <v>0.19074012725955045</v>
      </c>
      <c r="I1368">
        <f t="shared" si="24"/>
        <v>5.6477617147221305E-2</v>
      </c>
      <c r="J1368">
        <f t="shared" si="25"/>
        <v>0.89655437767838864</v>
      </c>
    </row>
    <row r="1369" spans="1:10" x14ac:dyDescent="0.3">
      <c r="A1369" s="1">
        <v>43991</v>
      </c>
      <c r="B1369" s="2">
        <v>5</v>
      </c>
      <c r="C1369" s="2">
        <v>5</v>
      </c>
      <c r="D1369" s="2">
        <v>4.55</v>
      </c>
      <c r="E1369" s="2">
        <v>4.96</v>
      </c>
      <c r="F1369" s="3">
        <v>4.96</v>
      </c>
      <c r="G1369" s="4">
        <v>8073400</v>
      </c>
      <c r="H1369">
        <f t="shared" si="23"/>
        <v>-1.0030174359937244E-2</v>
      </c>
      <c r="I1369">
        <f t="shared" si="24"/>
        <v>5.6464701800137435E-2</v>
      </c>
      <c r="J1369">
        <f t="shared" si="25"/>
        <v>0.89634935289950868</v>
      </c>
    </row>
    <row r="1370" spans="1:10" x14ac:dyDescent="0.3">
      <c r="A1370" s="1">
        <v>43992</v>
      </c>
      <c r="B1370" s="2">
        <v>4.78</v>
      </c>
      <c r="C1370" s="2">
        <v>5.53</v>
      </c>
      <c r="D1370" s="2">
        <v>4.68</v>
      </c>
      <c r="E1370" s="2">
        <v>5.07</v>
      </c>
      <c r="F1370" s="3">
        <v>5.07</v>
      </c>
      <c r="G1370" s="4">
        <v>10606400</v>
      </c>
      <c r="H1370">
        <f t="shared" si="23"/>
        <v>2.1935076866255714E-2</v>
      </c>
      <c r="I1370">
        <f t="shared" si="24"/>
        <v>5.6253687301278943E-2</v>
      </c>
      <c r="J1370">
        <f t="shared" si="25"/>
        <v>0.89299960157745772</v>
      </c>
    </row>
    <row r="1371" spans="1:10" x14ac:dyDescent="0.3">
      <c r="A1371" s="1">
        <v>43993</v>
      </c>
      <c r="B1371" s="2">
        <v>4.6399999999999997</v>
      </c>
      <c r="C1371" s="2">
        <v>4.9000000000000004</v>
      </c>
      <c r="D1371" s="2">
        <v>4.18</v>
      </c>
      <c r="E1371" s="2">
        <v>4.37</v>
      </c>
      <c r="F1371" s="3">
        <v>4.37</v>
      </c>
      <c r="G1371" s="4">
        <v>6236000</v>
      </c>
      <c r="H1371">
        <f t="shared" si="23"/>
        <v>-0.14857780849559304</v>
      </c>
      <c r="I1371">
        <f t="shared" si="24"/>
        <v>5.6929983603728571E-2</v>
      </c>
      <c r="J1371">
        <f t="shared" si="25"/>
        <v>0.90373547255070308</v>
      </c>
    </row>
    <row r="1372" spans="1:10" x14ac:dyDescent="0.3">
      <c r="A1372" s="1">
        <v>43994</v>
      </c>
      <c r="B1372" s="2">
        <v>4.5999999999999996</v>
      </c>
      <c r="C1372" s="2">
        <v>4.78</v>
      </c>
      <c r="D1372" s="2">
        <v>4.3899999999999997</v>
      </c>
      <c r="E1372" s="2">
        <v>4.72</v>
      </c>
      <c r="F1372" s="3">
        <v>4.72</v>
      </c>
      <c r="G1372" s="4">
        <v>4378200</v>
      </c>
      <c r="H1372">
        <f t="shared" si="23"/>
        <v>7.7045790489965085E-2</v>
      </c>
      <c r="I1372">
        <f t="shared" si="24"/>
        <v>5.7089792516176609E-2</v>
      </c>
      <c r="J1372">
        <f t="shared" si="25"/>
        <v>0.90627236038847836</v>
      </c>
    </row>
    <row r="1373" spans="1:10" x14ac:dyDescent="0.3">
      <c r="A1373" s="1">
        <v>43997</v>
      </c>
      <c r="B1373" s="2">
        <v>4.5</v>
      </c>
      <c r="C1373" s="2">
        <v>4.7699999999999996</v>
      </c>
      <c r="D1373" s="2">
        <v>4.42</v>
      </c>
      <c r="E1373" s="2">
        <v>4.6900000000000004</v>
      </c>
      <c r="F1373" s="3">
        <v>4.6900000000000004</v>
      </c>
      <c r="G1373" s="4">
        <v>3909000</v>
      </c>
      <c r="H1373">
        <f t="shared" si="23"/>
        <v>-6.3762171392758851E-3</v>
      </c>
      <c r="I1373">
        <f t="shared" si="24"/>
        <v>5.7044836514102984E-2</v>
      </c>
      <c r="J1373">
        <f t="shared" si="25"/>
        <v>0.90555870597991928</v>
      </c>
    </row>
    <row r="1374" spans="1:10" x14ac:dyDescent="0.3">
      <c r="A1374" s="1">
        <v>43998</v>
      </c>
      <c r="B1374" s="2">
        <v>4.95</v>
      </c>
      <c r="C1374" s="2">
        <v>4.95</v>
      </c>
      <c r="D1374" s="2">
        <v>4.51</v>
      </c>
      <c r="E1374" s="2">
        <v>4.6399999999999997</v>
      </c>
      <c r="F1374" s="3">
        <v>4.6399999999999997</v>
      </c>
      <c r="G1374" s="4">
        <v>3121300</v>
      </c>
      <c r="H1374">
        <f t="shared" si="23"/>
        <v>-1.071821622002426E-2</v>
      </c>
      <c r="I1374">
        <f t="shared" si="24"/>
        <v>5.7043608940883138E-2</v>
      </c>
      <c r="J1374">
        <f t="shared" si="25"/>
        <v>0.9055392188591842</v>
      </c>
    </row>
    <row r="1375" spans="1:10" x14ac:dyDescent="0.3">
      <c r="A1375" s="1">
        <v>43999</v>
      </c>
      <c r="B1375" s="2">
        <v>4.54</v>
      </c>
      <c r="C1375" s="2">
        <v>4.83</v>
      </c>
      <c r="D1375" s="2">
        <v>4.53</v>
      </c>
      <c r="E1375" s="2">
        <v>4.76</v>
      </c>
      <c r="F1375" s="3">
        <v>4.76</v>
      </c>
      <c r="G1375" s="4">
        <v>3593500</v>
      </c>
      <c r="H1375">
        <f t="shared" si="23"/>
        <v>2.5533302005164845E-2</v>
      </c>
      <c r="I1375">
        <f t="shared" si="24"/>
        <v>5.706164849996069E-2</v>
      </c>
      <c r="J1375">
        <f t="shared" si="25"/>
        <v>0.90582558798166701</v>
      </c>
    </row>
    <row r="1376" spans="1:10" x14ac:dyDescent="0.3">
      <c r="A1376" s="1">
        <v>44000</v>
      </c>
      <c r="B1376" s="2">
        <v>4.67</v>
      </c>
      <c r="C1376" s="2">
        <v>4.95</v>
      </c>
      <c r="D1376" s="2">
        <v>4.6500000000000004</v>
      </c>
      <c r="E1376" s="2">
        <v>4.95</v>
      </c>
      <c r="F1376" s="3">
        <v>4.95</v>
      </c>
      <c r="G1376" s="4">
        <v>3423800</v>
      </c>
      <c r="H1376">
        <f t="shared" si="23"/>
        <v>3.9139908337270372E-2</v>
      </c>
      <c r="I1376">
        <f t="shared" si="24"/>
        <v>5.7115453770806728E-2</v>
      </c>
      <c r="J1376">
        <f t="shared" si="25"/>
        <v>0.90667972017696552</v>
      </c>
    </row>
    <row r="1377" spans="1:10" x14ac:dyDescent="0.3">
      <c r="A1377" s="1">
        <v>44001</v>
      </c>
      <c r="B1377" s="2">
        <v>4.95</v>
      </c>
      <c r="C1377" s="2">
        <v>5.08</v>
      </c>
      <c r="D1377" s="2">
        <v>4.6900000000000004</v>
      </c>
      <c r="E1377" s="2">
        <v>4.88</v>
      </c>
      <c r="F1377" s="3">
        <v>4.88</v>
      </c>
      <c r="G1377" s="4">
        <v>7366600</v>
      </c>
      <c r="H1377">
        <f t="shared" si="23"/>
        <v>-1.4242356715543216E-2</v>
      </c>
      <c r="I1377">
        <f t="shared" si="24"/>
        <v>5.7111865709002847E-2</v>
      </c>
      <c r="J1377">
        <f t="shared" si="25"/>
        <v>0.90662276146163479</v>
      </c>
    </row>
    <row r="1378" spans="1:10" x14ac:dyDescent="0.3">
      <c r="A1378" s="1">
        <v>44004</v>
      </c>
      <c r="B1378" s="2">
        <v>4.79</v>
      </c>
      <c r="C1378" s="2">
        <v>4.95</v>
      </c>
      <c r="D1378" s="2">
        <v>4.72</v>
      </c>
      <c r="E1378" s="2">
        <v>4.87</v>
      </c>
      <c r="F1378" s="3">
        <v>4.87</v>
      </c>
      <c r="G1378" s="4">
        <v>3178900</v>
      </c>
      <c r="H1378">
        <f t="shared" si="23"/>
        <v>-2.0512827705573607E-3</v>
      </c>
      <c r="I1378">
        <f t="shared" si="24"/>
        <v>5.7101441168115122E-2</v>
      </c>
      <c r="J1378">
        <f t="shared" si="25"/>
        <v>0.90645727700530909</v>
      </c>
    </row>
    <row r="1379" spans="1:10" x14ac:dyDescent="0.3">
      <c r="A1379" s="1">
        <v>44005</v>
      </c>
      <c r="B1379" s="2">
        <v>4.95</v>
      </c>
      <c r="C1379" s="2">
        <v>4.99</v>
      </c>
      <c r="D1379" s="2">
        <v>4.8</v>
      </c>
      <c r="E1379" s="2">
        <v>4.83</v>
      </c>
      <c r="F1379" s="3">
        <v>4.83</v>
      </c>
      <c r="G1379" s="4">
        <v>3205400</v>
      </c>
      <c r="H1379">
        <f t="shared" si="23"/>
        <v>-8.2474694300171143E-3</v>
      </c>
      <c r="I1379">
        <f t="shared" si="24"/>
        <v>5.7090170704181327E-2</v>
      </c>
      <c r="J1379">
        <f t="shared" si="25"/>
        <v>0.90627836393693417</v>
      </c>
    </row>
    <row r="1380" spans="1:10" x14ac:dyDescent="0.3">
      <c r="A1380" s="1">
        <v>44006</v>
      </c>
      <c r="B1380" s="2">
        <v>4.83</v>
      </c>
      <c r="C1380" s="2">
        <v>4.84</v>
      </c>
      <c r="D1380" s="2">
        <v>4.38</v>
      </c>
      <c r="E1380" s="2">
        <v>4.41</v>
      </c>
      <c r="F1380" s="3">
        <v>4.41</v>
      </c>
      <c r="G1380" s="4">
        <v>2976200</v>
      </c>
      <c r="H1380">
        <f t="shared" si="23"/>
        <v>-9.0971778205726633E-2</v>
      </c>
      <c r="I1380">
        <f t="shared" si="24"/>
        <v>5.737061428100864E-2</v>
      </c>
      <c r="J1380">
        <f t="shared" si="25"/>
        <v>0.9107302677033573</v>
      </c>
    </row>
    <row r="1381" spans="1:10" x14ac:dyDescent="0.3">
      <c r="A1381" s="1">
        <v>44007</v>
      </c>
      <c r="B1381" s="2">
        <v>4.33</v>
      </c>
      <c r="C1381" s="2">
        <v>4.54</v>
      </c>
      <c r="D1381" s="2">
        <v>4.3</v>
      </c>
      <c r="E1381" s="2">
        <v>4.46</v>
      </c>
      <c r="F1381" s="3">
        <v>4.46</v>
      </c>
      <c r="G1381" s="4">
        <v>2450800</v>
      </c>
      <c r="H1381">
        <f t="shared" si="23"/>
        <v>1.1274076573217941E-2</v>
      </c>
      <c r="I1381">
        <f t="shared" si="24"/>
        <v>5.736725636547807E-2</v>
      </c>
      <c r="J1381">
        <f t="shared" si="25"/>
        <v>0.91067696244685259</v>
      </c>
    </row>
    <row r="1382" spans="1:10" x14ac:dyDescent="0.3">
      <c r="A1382" s="1">
        <v>44008</v>
      </c>
      <c r="B1382" s="2">
        <v>4.4800000000000004</v>
      </c>
      <c r="C1382" s="2">
        <v>4.5</v>
      </c>
      <c r="D1382" s="2">
        <v>4.2699999999999996</v>
      </c>
      <c r="E1382" s="2">
        <v>4.3499999999999996</v>
      </c>
      <c r="F1382" s="3">
        <v>4.3499999999999996</v>
      </c>
      <c r="G1382" s="4">
        <v>3801200</v>
      </c>
      <c r="H1382">
        <f t="shared" si="23"/>
        <v>-2.4972920931380049E-2</v>
      </c>
      <c r="I1382">
        <f t="shared" si="24"/>
        <v>5.7386677081903016E-2</v>
      </c>
      <c r="J1382">
        <f t="shared" si="25"/>
        <v>0.91098525676251119</v>
      </c>
    </row>
    <row r="1383" spans="1:10" x14ac:dyDescent="0.3">
      <c r="A1383" s="1">
        <v>44011</v>
      </c>
      <c r="B1383" s="2">
        <v>4.3499999999999996</v>
      </c>
      <c r="C1383" s="2">
        <v>4.5199999999999996</v>
      </c>
      <c r="D1383" s="2">
        <v>4.3</v>
      </c>
      <c r="E1383" s="2">
        <v>4.38</v>
      </c>
      <c r="F1383" s="3">
        <v>4.38</v>
      </c>
      <c r="G1383" s="4">
        <v>2131200</v>
      </c>
      <c r="H1383">
        <f t="shared" si="23"/>
        <v>6.8728792877620504E-3</v>
      </c>
      <c r="I1383">
        <f t="shared" si="24"/>
        <v>5.7382349052037804E-2</v>
      </c>
      <c r="J1383">
        <f t="shared" si="25"/>
        <v>0.91091655141836991</v>
      </c>
    </row>
    <row r="1384" spans="1:10" x14ac:dyDescent="0.3">
      <c r="A1384" s="1">
        <v>44012</v>
      </c>
      <c r="B1384" s="2">
        <v>4.33</v>
      </c>
      <c r="C1384" s="2">
        <v>4.51</v>
      </c>
      <c r="D1384" s="2">
        <v>4.2</v>
      </c>
      <c r="E1384" s="2">
        <v>4.34</v>
      </c>
      <c r="F1384" s="3">
        <v>4.34</v>
      </c>
      <c r="G1384" s="4">
        <v>3889000</v>
      </c>
      <c r="H1384">
        <f t="shared" si="23"/>
        <v>-9.1743762760412694E-3</v>
      </c>
      <c r="I1384">
        <f t="shared" si="24"/>
        <v>5.737989413049778E-2</v>
      </c>
      <c r="J1384">
        <f t="shared" si="25"/>
        <v>0.91087758074707148</v>
      </c>
    </row>
    <row r="1385" spans="1:10" x14ac:dyDescent="0.3">
      <c r="A1385" s="1">
        <v>44013</v>
      </c>
      <c r="B1385" s="2">
        <v>4.3099999999999996</v>
      </c>
      <c r="C1385" s="2">
        <v>4.5</v>
      </c>
      <c r="D1385" s="2">
        <v>4.3099999999999996</v>
      </c>
      <c r="E1385" s="2">
        <v>4.4400000000000004</v>
      </c>
      <c r="F1385" s="3">
        <v>4.4400000000000004</v>
      </c>
      <c r="G1385" s="4">
        <v>2303700</v>
      </c>
      <c r="H1385">
        <f t="shared" si="23"/>
        <v>2.2780028331820121E-2</v>
      </c>
      <c r="I1385">
        <f t="shared" si="24"/>
        <v>5.7386039725855507E-2</v>
      </c>
      <c r="J1385">
        <f t="shared" si="25"/>
        <v>0.91097513904892136</v>
      </c>
    </row>
    <row r="1386" spans="1:10" x14ac:dyDescent="0.3">
      <c r="A1386" s="1">
        <v>44014</v>
      </c>
      <c r="B1386" s="2">
        <v>4.49</v>
      </c>
      <c r="C1386" s="2">
        <v>4.51</v>
      </c>
      <c r="D1386" s="2">
        <v>4.29</v>
      </c>
      <c r="E1386" s="2">
        <v>4.29</v>
      </c>
      <c r="F1386" s="3">
        <v>4.29</v>
      </c>
      <c r="G1386" s="4">
        <v>1887600</v>
      </c>
      <c r="H1386">
        <f t="shared" si="23"/>
        <v>-3.4367643504207887E-2</v>
      </c>
      <c r="I1386">
        <f t="shared" si="24"/>
        <v>5.7424226408745879E-2</v>
      </c>
      <c r="J1386">
        <f t="shared" si="25"/>
        <v>0.9115813338468558</v>
      </c>
    </row>
    <row r="1387" spans="1:10" x14ac:dyDescent="0.3">
      <c r="A1387" s="1">
        <v>44018</v>
      </c>
      <c r="B1387" s="2">
        <v>4.3099999999999996</v>
      </c>
      <c r="C1387" s="2">
        <v>4.34</v>
      </c>
      <c r="D1387" s="2">
        <v>4.1900000000000004</v>
      </c>
      <c r="E1387" s="2">
        <v>4.24</v>
      </c>
      <c r="F1387" s="3">
        <v>4.24</v>
      </c>
      <c r="G1387" s="4">
        <v>2140900</v>
      </c>
      <c r="H1387">
        <f t="shared" si="23"/>
        <v>-1.1723463696059146E-2</v>
      </c>
      <c r="I1387">
        <f t="shared" si="24"/>
        <v>5.7423133524753145E-2</v>
      </c>
      <c r="J1387">
        <f t="shared" si="25"/>
        <v>0.91156398485131607</v>
      </c>
    </row>
    <row r="1388" spans="1:10" x14ac:dyDescent="0.3">
      <c r="A1388" s="1">
        <v>44019</v>
      </c>
      <c r="B1388" s="2">
        <v>4.2</v>
      </c>
      <c r="C1388" s="2">
        <v>4.25</v>
      </c>
      <c r="D1388" s="2">
        <v>4.0599999999999996</v>
      </c>
      <c r="E1388" s="2">
        <v>4.09</v>
      </c>
      <c r="F1388" s="3">
        <v>4.09</v>
      </c>
      <c r="G1388" s="4">
        <v>2456600</v>
      </c>
      <c r="H1388">
        <f t="shared" si="23"/>
        <v>-3.6018299189156097E-2</v>
      </c>
      <c r="I1388">
        <f t="shared" si="24"/>
        <v>5.7410616351866249E-2</v>
      </c>
      <c r="J1388">
        <f t="shared" si="25"/>
        <v>0.9113652808918582</v>
      </c>
    </row>
    <row r="1389" spans="1:10" x14ac:dyDescent="0.3">
      <c r="A1389" s="1">
        <v>44020</v>
      </c>
      <c r="B1389" s="2">
        <v>4.0999999999999996</v>
      </c>
      <c r="C1389" s="2">
        <v>4.29</v>
      </c>
      <c r="D1389" s="2">
        <v>4.03</v>
      </c>
      <c r="E1389" s="2">
        <v>4.26</v>
      </c>
      <c r="F1389" s="3">
        <v>4.26</v>
      </c>
      <c r="G1389" s="4">
        <v>2052800</v>
      </c>
      <c r="H1389">
        <f t="shared" si="23"/>
        <v>4.0724190226568702E-2</v>
      </c>
      <c r="I1389">
        <f t="shared" si="24"/>
        <v>5.7466267778776205E-2</v>
      </c>
      <c r="J1389">
        <f t="shared" si="25"/>
        <v>0.91224871990611589</v>
      </c>
    </row>
    <row r="1390" spans="1:10" x14ac:dyDescent="0.3">
      <c r="A1390" s="1">
        <v>44021</v>
      </c>
      <c r="B1390" s="2">
        <v>4.2699999999999996</v>
      </c>
      <c r="C1390" s="2">
        <v>4.32</v>
      </c>
      <c r="D1390" s="2">
        <v>4.13</v>
      </c>
      <c r="E1390" s="2">
        <v>4.21</v>
      </c>
      <c r="F1390" s="3">
        <v>4.21</v>
      </c>
      <c r="G1390" s="4">
        <v>1992600</v>
      </c>
      <c r="H1390">
        <f t="shared" si="23"/>
        <v>-1.1806512586988952E-2</v>
      </c>
      <c r="I1390">
        <f t="shared" si="24"/>
        <v>5.744862341467713E-2</v>
      </c>
      <c r="J1390">
        <f t="shared" si="25"/>
        <v>0.91196862430942782</v>
      </c>
    </row>
    <row r="1391" spans="1:10" x14ac:dyDescent="0.3">
      <c r="A1391" s="1">
        <v>44022</v>
      </c>
      <c r="B1391" s="2">
        <v>4.2</v>
      </c>
      <c r="C1391" s="2">
        <v>4.38</v>
      </c>
      <c r="D1391" s="2">
        <v>4.18</v>
      </c>
      <c r="E1391" s="2">
        <v>4.34</v>
      </c>
      <c r="F1391" s="3">
        <v>4.34</v>
      </c>
      <c r="G1391" s="4">
        <v>1410800</v>
      </c>
      <c r="H1391">
        <f t="shared" si="23"/>
        <v>3.0411700418023328E-2</v>
      </c>
      <c r="I1391">
        <f t="shared" si="24"/>
        <v>5.7462427538378311E-2</v>
      </c>
      <c r="J1391">
        <f t="shared" si="25"/>
        <v>0.91218775797971074</v>
      </c>
    </row>
    <row r="1392" spans="1:10" x14ac:dyDescent="0.3">
      <c r="A1392" s="1">
        <v>44025</v>
      </c>
      <c r="B1392" s="2">
        <v>4.3499999999999996</v>
      </c>
      <c r="C1392" s="2">
        <v>4.55</v>
      </c>
      <c r="D1392" s="2">
        <v>4.26</v>
      </c>
      <c r="E1392" s="2">
        <v>4.26</v>
      </c>
      <c r="F1392" s="3">
        <v>4.26</v>
      </c>
      <c r="G1392" s="4">
        <v>4216200</v>
      </c>
      <c r="H1392">
        <f t="shared" si="23"/>
        <v>-1.8605187831034469E-2</v>
      </c>
      <c r="I1392">
        <f t="shared" si="24"/>
        <v>5.7317096729143785E-2</v>
      </c>
      <c r="J1392">
        <f t="shared" si="25"/>
        <v>0.90988070290528877</v>
      </c>
    </row>
    <row r="1393" spans="1:10" x14ac:dyDescent="0.3">
      <c r="A1393" s="1">
        <v>44026</v>
      </c>
      <c r="B1393" s="2">
        <v>4.22</v>
      </c>
      <c r="C1393" s="2">
        <v>4.3099999999999996</v>
      </c>
      <c r="D1393" s="2">
        <v>4.07</v>
      </c>
      <c r="E1393" s="2">
        <v>4.08</v>
      </c>
      <c r="F1393" s="3">
        <v>4.08</v>
      </c>
      <c r="G1393" s="4">
        <v>2261600</v>
      </c>
      <c r="H1393">
        <f t="shared" si="23"/>
        <v>-4.3172171865208664E-2</v>
      </c>
      <c r="I1393">
        <f t="shared" si="24"/>
        <v>5.7371990285594872E-2</v>
      </c>
      <c r="J1393">
        <f t="shared" si="25"/>
        <v>0.91075211109898557</v>
      </c>
    </row>
    <row r="1394" spans="1:10" x14ac:dyDescent="0.3">
      <c r="A1394" s="1">
        <v>44027</v>
      </c>
      <c r="B1394" s="2">
        <v>4.13</v>
      </c>
      <c r="C1394" s="2">
        <v>4.29</v>
      </c>
      <c r="D1394" s="2">
        <v>4.13</v>
      </c>
      <c r="E1394" s="2">
        <v>4.1900000000000004</v>
      </c>
      <c r="F1394" s="3">
        <v>4.1900000000000004</v>
      </c>
      <c r="G1394" s="4">
        <v>1474100</v>
      </c>
      <c r="H1394">
        <f t="shared" si="23"/>
        <v>2.6603745517976153E-2</v>
      </c>
      <c r="I1394">
        <f t="shared" si="24"/>
        <v>5.7361045086839674E-2</v>
      </c>
      <c r="J1394">
        <f t="shared" si="25"/>
        <v>0.91057836145524695</v>
      </c>
    </row>
    <row r="1395" spans="1:10" x14ac:dyDescent="0.3">
      <c r="A1395" s="1">
        <v>44028</v>
      </c>
      <c r="B1395" s="2">
        <v>4.1900000000000004</v>
      </c>
      <c r="C1395" s="2">
        <v>4.2</v>
      </c>
      <c r="D1395" s="2">
        <v>4.09</v>
      </c>
      <c r="E1395" s="2">
        <v>4.17</v>
      </c>
      <c r="F1395" s="3">
        <v>4.17</v>
      </c>
      <c r="G1395" s="4">
        <v>1330100</v>
      </c>
      <c r="H1395">
        <f t="shared" si="23"/>
        <v>-4.7846981233363823E-3</v>
      </c>
      <c r="I1395">
        <f t="shared" si="24"/>
        <v>5.7339840147461262E-2</v>
      </c>
      <c r="J1395">
        <f t="shared" si="25"/>
        <v>0.91024174347827813</v>
      </c>
    </row>
    <row r="1396" spans="1:10" x14ac:dyDescent="0.3">
      <c r="A1396" s="1">
        <v>44029</v>
      </c>
      <c r="B1396" s="2">
        <v>4.16</v>
      </c>
      <c r="C1396" s="2">
        <v>4.2300000000000004</v>
      </c>
      <c r="D1396" s="2">
        <v>3.94</v>
      </c>
      <c r="E1396" s="2">
        <v>3.96</v>
      </c>
      <c r="F1396" s="3">
        <v>3.96</v>
      </c>
      <c r="G1396" s="4">
        <v>3065900</v>
      </c>
      <c r="H1396">
        <f t="shared" si="23"/>
        <v>-5.1672010544320926E-2</v>
      </c>
      <c r="I1396">
        <f t="shared" si="24"/>
        <v>5.7325718947256923E-2</v>
      </c>
      <c r="J1396">
        <f t="shared" si="25"/>
        <v>0.9100175763745515</v>
      </c>
    </row>
    <row r="1397" spans="1:10" x14ac:dyDescent="0.3">
      <c r="A1397" s="1">
        <v>44032</v>
      </c>
      <c r="B1397" s="2">
        <v>3.95</v>
      </c>
      <c r="C1397" s="2">
        <v>4.0599999999999996</v>
      </c>
      <c r="D1397" s="2">
        <v>3.77</v>
      </c>
      <c r="E1397" s="2">
        <v>3.85</v>
      </c>
      <c r="F1397" s="3">
        <v>3.85</v>
      </c>
      <c r="G1397" s="4">
        <v>3401100</v>
      </c>
      <c r="H1397">
        <f t="shared" si="23"/>
        <v>-2.8170876966696335E-2</v>
      </c>
      <c r="I1397">
        <f t="shared" si="24"/>
        <v>5.7292580795115858E-2</v>
      </c>
      <c r="J1397">
        <f t="shared" si="25"/>
        <v>0.90949152451771065</v>
      </c>
    </row>
    <row r="1398" spans="1:10" x14ac:dyDescent="0.3">
      <c r="A1398" s="1">
        <v>44033</v>
      </c>
      <c r="B1398" s="2">
        <v>3.9</v>
      </c>
      <c r="C1398" s="2">
        <v>4.09</v>
      </c>
      <c r="D1398" s="2">
        <v>3.88</v>
      </c>
      <c r="E1398" s="2">
        <v>4.01</v>
      </c>
      <c r="F1398" s="3">
        <v>4.01</v>
      </c>
      <c r="G1398" s="4">
        <v>3341000</v>
      </c>
      <c r="H1398">
        <f t="shared" si="23"/>
        <v>4.0718093018784977E-2</v>
      </c>
      <c r="I1398">
        <f t="shared" si="24"/>
        <v>5.7322784402434747E-2</v>
      </c>
      <c r="J1398">
        <f t="shared" si="25"/>
        <v>0.90997099191968767</v>
      </c>
    </row>
    <row r="1399" spans="1:10" x14ac:dyDescent="0.3">
      <c r="A1399" s="1">
        <v>44034</v>
      </c>
      <c r="B1399" s="2">
        <v>4.0199999999999996</v>
      </c>
      <c r="C1399" s="2">
        <v>4.12</v>
      </c>
      <c r="D1399" s="2">
        <v>3.92</v>
      </c>
      <c r="E1399" s="2">
        <v>4.1100000000000003</v>
      </c>
      <c r="F1399" s="3">
        <v>4.1100000000000003</v>
      </c>
      <c r="G1399" s="4">
        <v>2523500</v>
      </c>
      <c r="H1399">
        <f t="shared" si="23"/>
        <v>2.463178718966564E-2</v>
      </c>
      <c r="I1399">
        <f t="shared" si="24"/>
        <v>5.7281826180969019E-2</v>
      </c>
      <c r="J1399">
        <f t="shared" si="25"/>
        <v>0.90932080031083662</v>
      </c>
    </row>
    <row r="1400" spans="1:10" x14ac:dyDescent="0.3">
      <c r="A1400" s="1">
        <v>44035</v>
      </c>
      <c r="B1400" s="2">
        <v>4.09</v>
      </c>
      <c r="C1400" s="2">
        <v>4.3099999999999996</v>
      </c>
      <c r="D1400" s="2">
        <v>4.0599999999999996</v>
      </c>
      <c r="E1400" s="2">
        <v>4.1100000000000003</v>
      </c>
      <c r="F1400" s="3">
        <v>4.1100000000000003</v>
      </c>
      <c r="G1400" s="4">
        <v>3237200</v>
      </c>
      <c r="H1400">
        <f t="shared" si="23"/>
        <v>0</v>
      </c>
      <c r="I1400">
        <f t="shared" si="24"/>
        <v>5.7276715902578115E-2</v>
      </c>
      <c r="J1400">
        <f t="shared" si="25"/>
        <v>0.90923967715632081</v>
      </c>
    </row>
    <row r="1401" spans="1:10" x14ac:dyDescent="0.3">
      <c r="A1401" s="1">
        <v>44036</v>
      </c>
      <c r="B1401" s="2">
        <v>4.0599999999999996</v>
      </c>
      <c r="C1401" s="2">
        <v>4.2300000000000004</v>
      </c>
      <c r="D1401" s="2">
        <v>4.01</v>
      </c>
      <c r="E1401" s="2">
        <v>4.03</v>
      </c>
      <c r="F1401" s="3">
        <v>4.03</v>
      </c>
      <c r="G1401" s="4">
        <v>2215900</v>
      </c>
      <c r="H1401">
        <f t="shared" si="23"/>
        <v>-1.9656652549551599E-2</v>
      </c>
      <c r="I1401">
        <f t="shared" si="24"/>
        <v>5.7289873997214746E-2</v>
      </c>
      <c r="J1401">
        <f t="shared" si="25"/>
        <v>0.90944855543313674</v>
      </c>
    </row>
    <row r="1402" spans="1:10" x14ac:dyDescent="0.3">
      <c r="A1402" s="1">
        <v>44039</v>
      </c>
      <c r="B1402" s="2">
        <v>4.0199999999999996</v>
      </c>
      <c r="C1402" s="2">
        <v>4.12</v>
      </c>
      <c r="D1402" s="2">
        <v>3.95</v>
      </c>
      <c r="E1402" s="2">
        <v>4.01</v>
      </c>
      <c r="F1402" s="3">
        <v>4.01</v>
      </c>
      <c r="G1402" s="4">
        <v>2472700</v>
      </c>
      <c r="H1402">
        <f t="shared" si="23"/>
        <v>-4.9751346401139549E-3</v>
      </c>
      <c r="I1402">
        <f t="shared" si="24"/>
        <v>5.7269413856687761E-2</v>
      </c>
      <c r="J1402">
        <f t="shared" si="25"/>
        <v>0.90912376077139367</v>
      </c>
    </row>
    <row r="1403" spans="1:10" x14ac:dyDescent="0.3">
      <c r="A1403" s="1">
        <v>44040</v>
      </c>
      <c r="B1403" s="2">
        <v>3.96</v>
      </c>
      <c r="C1403" s="2">
        <v>4.05</v>
      </c>
      <c r="D1403" s="2">
        <v>3.92</v>
      </c>
      <c r="E1403" s="2">
        <v>3.94</v>
      </c>
      <c r="F1403" s="3">
        <v>3.94</v>
      </c>
      <c r="G1403" s="4">
        <v>4555400</v>
      </c>
      <c r="H1403">
        <f t="shared" si="23"/>
        <v>-1.7610518008635279E-2</v>
      </c>
      <c r="I1403">
        <f t="shared" si="24"/>
        <v>5.7278169350481495E-2</v>
      </c>
      <c r="J1403">
        <f t="shared" si="25"/>
        <v>0.90926274992649647</v>
      </c>
    </row>
    <row r="1404" spans="1:10" x14ac:dyDescent="0.3">
      <c r="A1404" s="1">
        <v>44041</v>
      </c>
      <c r="B1404" s="2">
        <v>3.94</v>
      </c>
      <c r="C1404" s="2">
        <v>4.18</v>
      </c>
      <c r="D1404" s="2">
        <v>3.92</v>
      </c>
      <c r="E1404" s="2">
        <v>4.0599999999999996</v>
      </c>
      <c r="F1404" s="3">
        <v>4.0599999999999996</v>
      </c>
      <c r="G1404" s="4">
        <v>2879600</v>
      </c>
      <c r="H1404">
        <f t="shared" si="23"/>
        <v>3.0002250303798699E-2</v>
      </c>
      <c r="I1404">
        <f t="shared" si="24"/>
        <v>5.7283994238262352E-2</v>
      </c>
      <c r="J1404">
        <f t="shared" si="25"/>
        <v>0.90935521715339451</v>
      </c>
    </row>
    <row r="1405" spans="1:10" x14ac:dyDescent="0.3">
      <c r="A1405" s="1">
        <v>44042</v>
      </c>
      <c r="B1405" s="2">
        <v>4</v>
      </c>
      <c r="C1405" s="2">
        <v>4.2300000000000004</v>
      </c>
      <c r="D1405" s="2">
        <v>3.97</v>
      </c>
      <c r="E1405" s="2">
        <v>4.0999999999999996</v>
      </c>
      <c r="F1405" s="3">
        <v>4.0999999999999996</v>
      </c>
      <c r="G1405" s="4">
        <v>2398500</v>
      </c>
      <c r="H1405">
        <f t="shared" si="23"/>
        <v>9.8040000966208348E-3</v>
      </c>
      <c r="I1405">
        <f t="shared" si="24"/>
        <v>5.7270414039896592E-2</v>
      </c>
      <c r="J1405">
        <f t="shared" si="25"/>
        <v>0.90913963818761012</v>
      </c>
    </row>
    <row r="1406" spans="1:10" x14ac:dyDescent="0.3">
      <c r="A1406" s="1">
        <v>44043</v>
      </c>
      <c r="B1406" s="2">
        <v>4.0599999999999996</v>
      </c>
      <c r="C1406" s="2">
        <v>4.16</v>
      </c>
      <c r="D1406" s="2">
        <v>3.99</v>
      </c>
      <c r="E1406" s="2">
        <v>4.01</v>
      </c>
      <c r="F1406" s="3">
        <v>4.01</v>
      </c>
      <c r="G1406" s="4">
        <v>1879400</v>
      </c>
      <c r="H1406">
        <f t="shared" si="23"/>
        <v>-2.2195732391784323E-2</v>
      </c>
      <c r="I1406">
        <f t="shared" si="24"/>
        <v>5.7287305280352009E-2</v>
      </c>
      <c r="J1406">
        <f t="shared" si="25"/>
        <v>0.90940777831709263</v>
      </c>
    </row>
    <row r="1407" spans="1:10" x14ac:dyDescent="0.3">
      <c r="A1407" s="1">
        <v>44046</v>
      </c>
      <c r="B1407" s="2">
        <v>4.03</v>
      </c>
      <c r="C1407" s="2">
        <v>4.25</v>
      </c>
      <c r="D1407" s="2">
        <v>4</v>
      </c>
      <c r="E1407" s="2">
        <v>4.1500000000000004</v>
      </c>
      <c r="F1407" s="3">
        <v>4.1500000000000004</v>
      </c>
      <c r="G1407" s="4">
        <v>2517600</v>
      </c>
      <c r="H1407">
        <f t="shared" si="23"/>
        <v>3.4317092924129156E-2</v>
      </c>
      <c r="I1407">
        <f t="shared" si="24"/>
        <v>5.7254578300555213E-2</v>
      </c>
      <c r="J1407">
        <f t="shared" si="25"/>
        <v>0.90888825361886538</v>
      </c>
    </row>
    <row r="1408" spans="1:10" x14ac:dyDescent="0.3">
      <c r="A1408" s="1">
        <v>44047</v>
      </c>
      <c r="B1408" s="2">
        <v>4.13</v>
      </c>
      <c r="C1408" s="2">
        <v>4.74</v>
      </c>
      <c r="D1408" s="2">
        <v>4.13</v>
      </c>
      <c r="E1408" s="2">
        <v>4.43</v>
      </c>
      <c r="F1408" s="3">
        <v>4.43</v>
      </c>
      <c r="G1408" s="4">
        <v>10361400</v>
      </c>
      <c r="H1408">
        <f t="shared" si="23"/>
        <v>6.5291249814437208E-2</v>
      </c>
      <c r="I1408">
        <f t="shared" si="24"/>
        <v>5.7390928299518751E-2</v>
      </c>
      <c r="J1408">
        <f t="shared" si="25"/>
        <v>0.91105274274999393</v>
      </c>
    </row>
    <row r="1409" spans="1:10" x14ac:dyDescent="0.3">
      <c r="A1409" s="1">
        <v>44048</v>
      </c>
      <c r="B1409" s="2">
        <v>4.5</v>
      </c>
      <c r="C1409" s="2">
        <v>4.76</v>
      </c>
      <c r="D1409" s="2">
        <v>4.25</v>
      </c>
      <c r="E1409" s="2">
        <v>4.63</v>
      </c>
      <c r="F1409" s="3">
        <v>4.63</v>
      </c>
      <c r="G1409" s="4">
        <v>4925700</v>
      </c>
      <c r="H1409">
        <f t="shared" si="23"/>
        <v>4.4157284041098428E-2</v>
      </c>
      <c r="I1409">
        <f t="shared" si="24"/>
        <v>5.7442971091549645E-2</v>
      </c>
      <c r="J1409">
        <f t="shared" si="25"/>
        <v>0.91187889646147713</v>
      </c>
    </row>
    <row r="1410" spans="1:10" x14ac:dyDescent="0.3">
      <c r="A1410" s="1">
        <v>44049</v>
      </c>
      <c r="B1410" s="2">
        <v>4.5999999999999996</v>
      </c>
      <c r="C1410" s="2">
        <v>4.66</v>
      </c>
      <c r="D1410" s="2">
        <v>4.38</v>
      </c>
      <c r="E1410" s="2">
        <v>4.43</v>
      </c>
      <c r="F1410" s="3">
        <v>4.43</v>
      </c>
      <c r="G1410" s="4">
        <v>1901200</v>
      </c>
      <c r="H1410">
        <f t="shared" si="23"/>
        <v>-4.415728404109847E-2</v>
      </c>
      <c r="I1410">
        <f t="shared" si="24"/>
        <v>5.7489463753358672E-2</v>
      </c>
      <c r="J1410">
        <f t="shared" si="25"/>
        <v>0.91261694458709386</v>
      </c>
    </row>
    <row r="1411" spans="1:10" x14ac:dyDescent="0.3">
      <c r="A1411" s="1">
        <v>44050</v>
      </c>
      <c r="B1411" s="2">
        <v>4.3899999999999997</v>
      </c>
      <c r="C1411" s="2">
        <v>4.4000000000000004</v>
      </c>
      <c r="D1411" s="2">
        <v>4.0599999999999996</v>
      </c>
      <c r="E1411" s="2">
        <v>4.16</v>
      </c>
      <c r="F1411" s="3">
        <v>4.16</v>
      </c>
      <c r="G1411" s="4">
        <v>3341100</v>
      </c>
      <c r="H1411">
        <f t="shared" si="23"/>
        <v>-6.2884509783872222E-2</v>
      </c>
      <c r="I1411">
        <f t="shared" si="24"/>
        <v>5.7627824395175532E-2</v>
      </c>
      <c r="J1411">
        <f t="shared" si="25"/>
        <v>0.91481335168401401</v>
      </c>
    </row>
    <row r="1412" spans="1:10" x14ac:dyDescent="0.3">
      <c r="A1412" s="1">
        <v>44053</v>
      </c>
      <c r="B1412" s="2">
        <v>4.2</v>
      </c>
      <c r="C1412" s="2">
        <v>4.57</v>
      </c>
      <c r="D1412" s="2">
        <v>4.18</v>
      </c>
      <c r="E1412" s="2">
        <v>4.33</v>
      </c>
      <c r="F1412" s="3">
        <v>4.33</v>
      </c>
      <c r="G1412" s="4">
        <v>4561800</v>
      </c>
      <c r="H1412">
        <f t="shared" ref="H1412:H1475" si="26">LN(E1412/E1411)</f>
        <v>4.0052467741226533E-2</v>
      </c>
      <c r="I1412">
        <f t="shared" si="24"/>
        <v>5.7667664587803459E-2</v>
      </c>
      <c r="J1412">
        <f t="shared" si="25"/>
        <v>0.91544579513528446</v>
      </c>
    </row>
    <row r="1413" spans="1:10" x14ac:dyDescent="0.3">
      <c r="A1413" s="1">
        <v>44054</v>
      </c>
      <c r="B1413" s="2">
        <v>4.43</v>
      </c>
      <c r="C1413" s="2">
        <v>4.57</v>
      </c>
      <c r="D1413" s="2">
        <v>4.34</v>
      </c>
      <c r="E1413" s="2">
        <v>4.3499999999999996</v>
      </c>
      <c r="F1413" s="3">
        <v>4.3499999999999996</v>
      </c>
      <c r="G1413" s="4">
        <v>3138800</v>
      </c>
      <c r="H1413">
        <f t="shared" si="26"/>
        <v>4.6083030861941814E-3</v>
      </c>
      <c r="I1413">
        <f t="shared" si="24"/>
        <v>5.7442887615532956E-2</v>
      </c>
      <c r="J1413">
        <f t="shared" si="25"/>
        <v>0.91187757132079361</v>
      </c>
    </row>
    <row r="1414" spans="1:10" x14ac:dyDescent="0.3">
      <c r="A1414" s="1">
        <v>44055</v>
      </c>
      <c r="B1414" s="2">
        <v>4.4000000000000004</v>
      </c>
      <c r="C1414" s="2">
        <v>4.63</v>
      </c>
      <c r="D1414" s="2">
        <v>4.3600000000000003</v>
      </c>
      <c r="E1414" s="2">
        <v>4.5199999999999996</v>
      </c>
      <c r="F1414" s="3">
        <v>4.5199999999999996</v>
      </c>
      <c r="G1414" s="4">
        <v>3057600</v>
      </c>
      <c r="H1414">
        <f t="shared" si="26"/>
        <v>3.833614874354703E-2</v>
      </c>
      <c r="I1414">
        <f t="shared" si="24"/>
        <v>5.7472403249384019E-2</v>
      </c>
      <c r="J1414">
        <f t="shared" si="25"/>
        <v>0.91234611748254368</v>
      </c>
    </row>
    <row r="1415" spans="1:10" x14ac:dyDescent="0.3">
      <c r="A1415" s="1">
        <v>44056</v>
      </c>
      <c r="B1415" s="2">
        <v>4.5199999999999996</v>
      </c>
      <c r="C1415" s="2">
        <v>4.71</v>
      </c>
      <c r="D1415" s="2">
        <v>4.5</v>
      </c>
      <c r="E1415" s="2">
        <v>4.6399999999999997</v>
      </c>
      <c r="F1415" s="3">
        <v>4.6399999999999997</v>
      </c>
      <c r="G1415" s="4">
        <v>2128300</v>
      </c>
      <c r="H1415">
        <f t="shared" si="26"/>
        <v>2.6202372394024117E-2</v>
      </c>
      <c r="I1415">
        <f t="shared" si="24"/>
        <v>5.748877509809501E-2</v>
      </c>
      <c r="J1415">
        <f t="shared" si="25"/>
        <v>0.91260601252369355</v>
      </c>
    </row>
    <row r="1416" spans="1:10" x14ac:dyDescent="0.3">
      <c r="A1416" s="1">
        <v>44057</v>
      </c>
      <c r="B1416" s="2">
        <v>4.5999999999999996</v>
      </c>
      <c r="C1416" s="2">
        <v>4.83</v>
      </c>
      <c r="D1416" s="2">
        <v>4.55</v>
      </c>
      <c r="E1416" s="2">
        <v>4.75</v>
      </c>
      <c r="F1416" s="3">
        <v>4.75</v>
      </c>
      <c r="G1416" s="4">
        <v>3474400</v>
      </c>
      <c r="H1416">
        <f t="shared" si="26"/>
        <v>2.3430251808386003E-2</v>
      </c>
      <c r="I1416">
        <f t="shared" si="24"/>
        <v>5.7434316550120185E-2</v>
      </c>
      <c r="J1416">
        <f t="shared" si="25"/>
        <v>0.9117415098754752</v>
      </c>
    </row>
    <row r="1417" spans="1:10" x14ac:dyDescent="0.3">
      <c r="A1417" s="1">
        <v>44060</v>
      </c>
      <c r="B1417" s="2">
        <v>4.78</v>
      </c>
      <c r="C1417" s="2">
        <v>4.78</v>
      </c>
      <c r="D1417" s="2">
        <v>4.5599999999999996</v>
      </c>
      <c r="E1417" s="2">
        <v>4.63</v>
      </c>
      <c r="F1417" s="3">
        <v>4.63</v>
      </c>
      <c r="G1417" s="4">
        <v>2371000</v>
      </c>
      <c r="H1417">
        <f t="shared" si="26"/>
        <v>-2.5587749948407169E-2</v>
      </c>
      <c r="I1417">
        <f t="shared" si="24"/>
        <v>5.7416911213785442E-2</v>
      </c>
      <c r="J1417">
        <f t="shared" si="25"/>
        <v>0.91146520872691217</v>
      </c>
    </row>
    <row r="1418" spans="1:10" x14ac:dyDescent="0.3">
      <c r="A1418" s="1">
        <v>44061</v>
      </c>
      <c r="B1418" s="2">
        <v>4.6100000000000003</v>
      </c>
      <c r="C1418" s="2">
        <v>4.87</v>
      </c>
      <c r="D1418" s="2">
        <v>4.43</v>
      </c>
      <c r="E1418" s="2">
        <v>4.8099999999999996</v>
      </c>
      <c r="F1418" s="3">
        <v>4.8099999999999996</v>
      </c>
      <c r="G1418" s="4">
        <v>3834400</v>
      </c>
      <c r="H1418">
        <f t="shared" si="26"/>
        <v>3.8140216019527114E-2</v>
      </c>
      <c r="I1418">
        <f t="shared" si="24"/>
        <v>5.7427500006512533E-2</v>
      </c>
      <c r="J1418">
        <f t="shared" si="25"/>
        <v>0.91163330060035397</v>
      </c>
    </row>
    <row r="1419" spans="1:10" x14ac:dyDescent="0.3">
      <c r="A1419" s="1">
        <v>44062</v>
      </c>
      <c r="B1419" s="2">
        <v>4.8</v>
      </c>
      <c r="C1419" s="2">
        <v>4.84</v>
      </c>
      <c r="D1419" s="2">
        <v>4.6399999999999997</v>
      </c>
      <c r="E1419" s="2">
        <v>4.72</v>
      </c>
      <c r="F1419" s="3">
        <v>4.72</v>
      </c>
      <c r="G1419" s="4">
        <v>2612600</v>
      </c>
      <c r="H1419">
        <f t="shared" si="26"/>
        <v>-1.8888284520205745E-2</v>
      </c>
      <c r="I1419">
        <f t="shared" si="24"/>
        <v>5.743228363714821E-2</v>
      </c>
      <c r="J1419">
        <f t="shared" si="25"/>
        <v>0.91170923838250995</v>
      </c>
    </row>
    <row r="1420" spans="1:10" x14ac:dyDescent="0.3">
      <c r="A1420" s="1">
        <v>44063</v>
      </c>
      <c r="B1420" s="2">
        <v>4.62</v>
      </c>
      <c r="C1420" s="2">
        <v>4.68</v>
      </c>
      <c r="D1420" s="2">
        <v>4.51</v>
      </c>
      <c r="E1420" s="2">
        <v>4.6100000000000003</v>
      </c>
      <c r="F1420" s="3">
        <v>4.6100000000000003</v>
      </c>
      <c r="G1420" s="4">
        <v>2441200</v>
      </c>
      <c r="H1420">
        <f t="shared" si="26"/>
        <v>-2.3580942588906684E-2</v>
      </c>
      <c r="I1420">
        <f t="shared" si="24"/>
        <v>5.7449762457474005E-2</v>
      </c>
      <c r="J1420">
        <f t="shared" si="25"/>
        <v>0.91198670605326693</v>
      </c>
    </row>
    <row r="1421" spans="1:10" x14ac:dyDescent="0.3">
      <c r="A1421" s="1">
        <v>44064</v>
      </c>
      <c r="B1421" s="2">
        <v>4.5999999999999996</v>
      </c>
      <c r="C1421" s="2">
        <v>5.6</v>
      </c>
      <c r="D1421" s="2">
        <v>4.5999999999999996</v>
      </c>
      <c r="E1421" s="2">
        <v>5.03</v>
      </c>
      <c r="F1421" s="3">
        <v>5.03</v>
      </c>
      <c r="G1421" s="4">
        <v>10642600</v>
      </c>
      <c r="H1421">
        <f t="shared" si="26"/>
        <v>8.7192127103090628E-2</v>
      </c>
      <c r="I1421">
        <f t="shared" si="24"/>
        <v>5.7666169040039551E-2</v>
      </c>
      <c r="J1421">
        <f t="shared" si="25"/>
        <v>0.91542205405054167</v>
      </c>
    </row>
    <row r="1422" spans="1:10" x14ac:dyDescent="0.3">
      <c r="A1422" s="1">
        <v>44067</v>
      </c>
      <c r="B1422" s="2">
        <v>5.0999999999999996</v>
      </c>
      <c r="C1422" s="2">
        <v>5.13</v>
      </c>
      <c r="D1422" s="2">
        <v>4.5599999999999996</v>
      </c>
      <c r="E1422" s="2">
        <v>4.87</v>
      </c>
      <c r="F1422" s="3">
        <v>4.87</v>
      </c>
      <c r="G1422" s="4">
        <v>4585400</v>
      </c>
      <c r="H1422">
        <f t="shared" si="26"/>
        <v>-3.2326047017149494E-2</v>
      </c>
      <c r="I1422">
        <f t="shared" si="24"/>
        <v>5.7437948735950643E-2</v>
      </c>
      <c r="J1422">
        <f t="shared" si="25"/>
        <v>0.91179916903801295</v>
      </c>
    </row>
    <row r="1423" spans="1:10" x14ac:dyDescent="0.3">
      <c r="A1423" s="1">
        <v>44068</v>
      </c>
      <c r="B1423" s="2">
        <v>4.88</v>
      </c>
      <c r="C1423" s="2">
        <v>5.25</v>
      </c>
      <c r="D1423" s="2">
        <v>4.88</v>
      </c>
      <c r="E1423" s="2">
        <v>4.9800000000000004</v>
      </c>
      <c r="F1423" s="3">
        <v>4.9800000000000004</v>
      </c>
      <c r="G1423" s="4">
        <v>2998700</v>
      </c>
      <c r="H1423">
        <f t="shared" si="26"/>
        <v>2.2335953942063298E-2</v>
      </c>
      <c r="I1423">
        <f t="shared" si="24"/>
        <v>5.7330786320834111E-2</v>
      </c>
      <c r="J1423">
        <f t="shared" si="25"/>
        <v>0.91009801843626448</v>
      </c>
    </row>
    <row r="1424" spans="1:10" x14ac:dyDescent="0.3">
      <c r="A1424" s="1">
        <v>44069</v>
      </c>
      <c r="B1424" s="2">
        <v>4.97</v>
      </c>
      <c r="C1424" s="2">
        <v>5.22</v>
      </c>
      <c r="D1424" s="2">
        <v>4.92</v>
      </c>
      <c r="E1424" s="2">
        <v>5.1100000000000003</v>
      </c>
      <c r="F1424" s="3">
        <v>5.1100000000000003</v>
      </c>
      <c r="G1424" s="4">
        <v>2779700</v>
      </c>
      <c r="H1424">
        <f t="shared" si="26"/>
        <v>2.5769513179051393E-2</v>
      </c>
      <c r="I1424">
        <f t="shared" si="24"/>
        <v>5.7283653725484808E-2</v>
      </c>
      <c r="J1424">
        <f t="shared" si="25"/>
        <v>0.90934981168062878</v>
      </c>
    </row>
    <row r="1425" spans="1:10" x14ac:dyDescent="0.3">
      <c r="A1425" s="1">
        <v>44070</v>
      </c>
      <c r="B1425" s="2">
        <v>5.1100000000000003</v>
      </c>
      <c r="C1425" s="2">
        <v>5.38</v>
      </c>
      <c r="D1425" s="2">
        <v>5.0199999999999996</v>
      </c>
      <c r="E1425" s="2">
        <v>5.25</v>
      </c>
      <c r="F1425" s="3">
        <v>5.25</v>
      </c>
      <c r="G1425" s="4">
        <v>3384400</v>
      </c>
      <c r="H1425">
        <f t="shared" si="26"/>
        <v>2.70286723879192E-2</v>
      </c>
      <c r="I1425">
        <f t="shared" si="24"/>
        <v>5.7268498292029513E-2</v>
      </c>
      <c r="J1425">
        <f t="shared" si="25"/>
        <v>0.90910922663302418</v>
      </c>
    </row>
    <row r="1426" spans="1:10" x14ac:dyDescent="0.3">
      <c r="A1426" s="1">
        <v>44071</v>
      </c>
      <c r="B1426" s="2">
        <v>5.3</v>
      </c>
      <c r="C1426" s="2">
        <v>5.57</v>
      </c>
      <c r="D1426" s="2">
        <v>5.22</v>
      </c>
      <c r="E1426" s="2">
        <v>5.39</v>
      </c>
      <c r="F1426" s="3">
        <v>5.39</v>
      </c>
      <c r="G1426" s="4">
        <v>4236900</v>
      </c>
      <c r="H1426">
        <f t="shared" si="26"/>
        <v>2.6317308317373358E-2</v>
      </c>
      <c r="I1426">
        <f t="shared" ref="I1426:I1489" si="27">_xlfn.STDEV.S(H1174:H1426)</f>
        <v>5.7216261221998799E-2</v>
      </c>
      <c r="J1426">
        <f t="shared" ref="J1426:J1489" si="28">I1426*SQRT(252)</f>
        <v>0.90827998885390449</v>
      </c>
    </row>
    <row r="1427" spans="1:10" x14ac:dyDescent="0.3">
      <c r="A1427" s="1">
        <v>44074</v>
      </c>
      <c r="B1427" s="2">
        <v>5.77</v>
      </c>
      <c r="C1427" s="2">
        <v>7.15</v>
      </c>
      <c r="D1427" s="2">
        <v>5.69</v>
      </c>
      <c r="E1427" s="2">
        <v>6.68</v>
      </c>
      <c r="F1427" s="3">
        <v>6.68</v>
      </c>
      <c r="G1427" s="4">
        <v>37976000</v>
      </c>
      <c r="H1427">
        <f t="shared" si="26"/>
        <v>0.21457260262764863</v>
      </c>
      <c r="I1427">
        <f t="shared" si="27"/>
        <v>5.852541840532078E-2</v>
      </c>
      <c r="J1427">
        <f t="shared" si="28"/>
        <v>0.92906221485888707</v>
      </c>
    </row>
    <row r="1428" spans="1:10" x14ac:dyDescent="0.3">
      <c r="A1428" s="1">
        <v>44075</v>
      </c>
      <c r="B1428" s="2">
        <v>7.3</v>
      </c>
      <c r="C1428" s="2">
        <v>7.82</v>
      </c>
      <c r="D1428" s="2">
        <v>6.77</v>
      </c>
      <c r="E1428" s="2">
        <v>7.65</v>
      </c>
      <c r="F1428" s="3">
        <v>7.65</v>
      </c>
      <c r="G1428" s="4">
        <v>23211000</v>
      </c>
      <c r="H1428">
        <f t="shared" si="26"/>
        <v>0.13558766028989011</v>
      </c>
      <c r="I1428">
        <f t="shared" si="27"/>
        <v>5.8980796807892859E-2</v>
      </c>
      <c r="J1428">
        <f t="shared" si="28"/>
        <v>0.93629112289270056</v>
      </c>
    </row>
    <row r="1429" spans="1:10" x14ac:dyDescent="0.3">
      <c r="A1429" s="1">
        <v>44076</v>
      </c>
      <c r="B1429" s="2">
        <v>7.8</v>
      </c>
      <c r="C1429" s="2">
        <v>8.0500000000000007</v>
      </c>
      <c r="D1429" s="2">
        <v>7.11</v>
      </c>
      <c r="E1429" s="2">
        <v>7.71</v>
      </c>
      <c r="F1429" s="3">
        <v>7.71</v>
      </c>
      <c r="G1429" s="4">
        <v>13011100</v>
      </c>
      <c r="H1429">
        <f t="shared" si="26"/>
        <v>7.8125397367936247E-3</v>
      </c>
      <c r="I1429">
        <f t="shared" si="27"/>
        <v>5.8917031043119135E-2</v>
      </c>
      <c r="J1429">
        <f t="shared" si="28"/>
        <v>0.93527887275819388</v>
      </c>
    </row>
    <row r="1430" spans="1:10" x14ac:dyDescent="0.3">
      <c r="A1430" s="1">
        <v>44077</v>
      </c>
      <c r="B1430" s="2">
        <v>7.88</v>
      </c>
      <c r="C1430" s="2">
        <v>8.4499999999999993</v>
      </c>
      <c r="D1430" s="2">
        <v>7.24</v>
      </c>
      <c r="E1430" s="2">
        <v>7.82</v>
      </c>
      <c r="F1430" s="3">
        <v>7.82</v>
      </c>
      <c r="G1430" s="4">
        <v>14344500</v>
      </c>
      <c r="H1430">
        <f t="shared" si="26"/>
        <v>1.4166366981981541E-2</v>
      </c>
      <c r="I1430">
        <f t="shared" si="27"/>
        <v>5.8865011430678127E-2</v>
      </c>
      <c r="J1430">
        <f t="shared" si="28"/>
        <v>0.93445308701129259</v>
      </c>
    </row>
    <row r="1431" spans="1:10" x14ac:dyDescent="0.3">
      <c r="A1431" s="1">
        <v>44078</v>
      </c>
      <c r="B1431" s="2">
        <v>7.78</v>
      </c>
      <c r="C1431" s="2">
        <v>7.92</v>
      </c>
      <c r="D1431" s="2">
        <v>7.17</v>
      </c>
      <c r="E1431" s="2">
        <v>7.65</v>
      </c>
      <c r="F1431" s="3">
        <v>7.65</v>
      </c>
      <c r="G1431" s="4">
        <v>7662000</v>
      </c>
      <c r="H1431">
        <f t="shared" si="26"/>
        <v>-2.197890671877523E-2</v>
      </c>
      <c r="I1431">
        <f t="shared" si="27"/>
        <v>5.8770127397124866E-2</v>
      </c>
      <c r="J1431">
        <f t="shared" si="28"/>
        <v>0.93294684967425678</v>
      </c>
    </row>
    <row r="1432" spans="1:10" x14ac:dyDescent="0.3">
      <c r="A1432" s="1">
        <v>44082</v>
      </c>
      <c r="B1432" s="2">
        <v>7.55</v>
      </c>
      <c r="C1432" s="2">
        <v>8.2799999999999994</v>
      </c>
      <c r="D1432" s="2">
        <v>7.48</v>
      </c>
      <c r="E1432" s="2">
        <v>7.7</v>
      </c>
      <c r="F1432" s="3">
        <v>7.7</v>
      </c>
      <c r="G1432" s="4">
        <v>9816600</v>
      </c>
      <c r="H1432">
        <f t="shared" si="26"/>
        <v>6.5146810211936723E-3</v>
      </c>
      <c r="I1432">
        <f t="shared" si="27"/>
        <v>5.8761621030855679E-2</v>
      </c>
      <c r="J1432">
        <f t="shared" si="28"/>
        <v>0.93281181529600221</v>
      </c>
    </row>
    <row r="1433" spans="1:10" x14ac:dyDescent="0.3">
      <c r="A1433" s="1">
        <v>44083</v>
      </c>
      <c r="B1433" s="2">
        <v>7.96</v>
      </c>
      <c r="C1433" s="2">
        <v>7.99</v>
      </c>
      <c r="D1433" s="2">
        <v>7.31</v>
      </c>
      <c r="E1433" s="2">
        <v>7.35</v>
      </c>
      <c r="F1433" s="3">
        <v>7.35</v>
      </c>
      <c r="G1433" s="4">
        <v>9068100</v>
      </c>
      <c r="H1433">
        <f t="shared" si="26"/>
        <v>-4.6520015634892928E-2</v>
      </c>
      <c r="I1433">
        <f t="shared" si="27"/>
        <v>5.8520938491960217E-2</v>
      </c>
      <c r="J1433">
        <f t="shared" si="28"/>
        <v>0.92899109843900407</v>
      </c>
    </row>
    <row r="1434" spans="1:10" x14ac:dyDescent="0.3">
      <c r="A1434" s="1">
        <v>44084</v>
      </c>
      <c r="B1434" s="2">
        <v>6.65</v>
      </c>
      <c r="C1434" s="2">
        <v>6.95</v>
      </c>
      <c r="D1434" s="2">
        <v>6.19</v>
      </c>
      <c r="E1434" s="2">
        <v>6.23</v>
      </c>
      <c r="F1434" s="3">
        <v>6.23</v>
      </c>
      <c r="G1434" s="4">
        <v>15558300</v>
      </c>
      <c r="H1434">
        <f t="shared" si="26"/>
        <v>-0.1653239804253834</v>
      </c>
      <c r="I1434">
        <f t="shared" si="27"/>
        <v>5.93097880896278E-2</v>
      </c>
      <c r="J1434">
        <f t="shared" si="28"/>
        <v>0.94151369758257475</v>
      </c>
    </row>
    <row r="1435" spans="1:10" x14ac:dyDescent="0.3">
      <c r="A1435" s="1">
        <v>44085</v>
      </c>
      <c r="B1435" s="2">
        <v>6.26</v>
      </c>
      <c r="C1435" s="2">
        <v>6.33</v>
      </c>
      <c r="D1435" s="2">
        <v>5.87</v>
      </c>
      <c r="E1435" s="2">
        <v>6.09</v>
      </c>
      <c r="F1435" s="3">
        <v>6.09</v>
      </c>
      <c r="G1435" s="4">
        <v>6061200</v>
      </c>
      <c r="H1435">
        <f t="shared" si="26"/>
        <v>-2.2728251077556175E-2</v>
      </c>
      <c r="I1435">
        <f t="shared" si="27"/>
        <v>5.8963228690406579E-2</v>
      </c>
      <c r="J1435">
        <f t="shared" si="28"/>
        <v>0.93601223767346697</v>
      </c>
    </row>
    <row r="1436" spans="1:10" x14ac:dyDescent="0.3">
      <c r="A1436" s="1">
        <v>44088</v>
      </c>
      <c r="B1436" s="2">
        <v>6.8</v>
      </c>
      <c r="C1436" s="2">
        <v>7</v>
      </c>
      <c r="D1436" s="2">
        <v>6.43</v>
      </c>
      <c r="E1436" s="2">
        <v>6.91</v>
      </c>
      <c r="F1436" s="3">
        <v>6.91</v>
      </c>
      <c r="G1436" s="4">
        <v>10119000</v>
      </c>
      <c r="H1436">
        <f t="shared" si="26"/>
        <v>0.12632155605777293</v>
      </c>
      <c r="I1436">
        <f t="shared" si="27"/>
        <v>5.9485851820010156E-2</v>
      </c>
      <c r="J1436">
        <f t="shared" si="28"/>
        <v>0.94430862265551507</v>
      </c>
    </row>
    <row r="1437" spans="1:10" x14ac:dyDescent="0.3">
      <c r="A1437" s="1">
        <v>44089</v>
      </c>
      <c r="B1437" s="2">
        <v>6.86</v>
      </c>
      <c r="C1437" s="2">
        <v>7.26</v>
      </c>
      <c r="D1437" s="2">
        <v>6.69</v>
      </c>
      <c r="E1437" s="2">
        <v>7.09</v>
      </c>
      <c r="F1437" s="3">
        <v>7.09</v>
      </c>
      <c r="G1437" s="4">
        <v>5743500</v>
      </c>
      <c r="H1437">
        <f t="shared" si="26"/>
        <v>2.5715702764457515E-2</v>
      </c>
      <c r="I1437">
        <f t="shared" si="27"/>
        <v>5.9452757616735359E-2</v>
      </c>
      <c r="J1437">
        <f t="shared" si="28"/>
        <v>0.94378326846529748</v>
      </c>
    </row>
    <row r="1438" spans="1:10" x14ac:dyDescent="0.3">
      <c r="A1438" s="1">
        <v>44090</v>
      </c>
      <c r="B1438" s="2">
        <v>7.03</v>
      </c>
      <c r="C1438" s="2">
        <v>9.0399999999999991</v>
      </c>
      <c r="D1438" s="2">
        <v>7.03</v>
      </c>
      <c r="E1438" s="2">
        <v>8.68</v>
      </c>
      <c r="F1438" s="3">
        <v>8.68</v>
      </c>
      <c r="G1438" s="4">
        <v>19256300</v>
      </c>
      <c r="H1438">
        <f t="shared" si="26"/>
        <v>0.20233618812822257</v>
      </c>
      <c r="I1438">
        <f t="shared" si="27"/>
        <v>6.0765088473850322E-2</v>
      </c>
      <c r="J1438">
        <f t="shared" si="28"/>
        <v>0.964615874979872</v>
      </c>
    </row>
    <row r="1439" spans="1:10" x14ac:dyDescent="0.3">
      <c r="A1439" s="1">
        <v>44091</v>
      </c>
      <c r="B1439" s="2">
        <v>8.57</v>
      </c>
      <c r="C1439" s="2">
        <v>9.77</v>
      </c>
      <c r="D1439" s="2">
        <v>8.41</v>
      </c>
      <c r="E1439" s="2">
        <v>9.1999999999999993</v>
      </c>
      <c r="F1439" s="3">
        <v>9.1999999999999993</v>
      </c>
      <c r="G1439" s="4">
        <v>17026700</v>
      </c>
      <c r="H1439">
        <f t="shared" si="26"/>
        <v>5.8181955382735684E-2</v>
      </c>
      <c r="I1439">
        <f t="shared" si="27"/>
        <v>6.0863143191518622E-2</v>
      </c>
      <c r="J1439">
        <f t="shared" si="28"/>
        <v>0.96617244536683389</v>
      </c>
    </row>
    <row r="1440" spans="1:10" x14ac:dyDescent="0.3">
      <c r="A1440" s="1">
        <v>44092</v>
      </c>
      <c r="B1440" s="2">
        <v>9.1999999999999993</v>
      </c>
      <c r="C1440" s="2">
        <v>9.77</v>
      </c>
      <c r="D1440" s="2">
        <v>8.91</v>
      </c>
      <c r="E1440" s="2">
        <v>9.4700000000000006</v>
      </c>
      <c r="F1440" s="3">
        <v>9.4700000000000006</v>
      </c>
      <c r="G1440" s="4">
        <v>17407500</v>
      </c>
      <c r="H1440">
        <f t="shared" si="26"/>
        <v>2.8925423142992356E-2</v>
      </c>
      <c r="I1440">
        <f t="shared" si="27"/>
        <v>6.0777080577573028E-2</v>
      </c>
      <c r="J1440">
        <f t="shared" si="28"/>
        <v>0.96480624372475265</v>
      </c>
    </row>
    <row r="1441" spans="1:10" x14ac:dyDescent="0.3">
      <c r="A1441" s="1">
        <v>44095</v>
      </c>
      <c r="B1441" s="2">
        <v>9.35</v>
      </c>
      <c r="C1441" s="2">
        <v>9.6</v>
      </c>
      <c r="D1441" s="2">
        <v>8.3800000000000008</v>
      </c>
      <c r="E1441" s="2">
        <v>8.75</v>
      </c>
      <c r="F1441" s="3">
        <v>8.75</v>
      </c>
      <c r="G1441" s="4">
        <v>7639800</v>
      </c>
      <c r="H1441">
        <f t="shared" si="26"/>
        <v>-7.9075206828463876E-2</v>
      </c>
      <c r="I1441">
        <f t="shared" si="27"/>
        <v>6.094794915667999E-2</v>
      </c>
      <c r="J1441">
        <f t="shared" si="28"/>
        <v>0.9675186983279046</v>
      </c>
    </row>
    <row r="1442" spans="1:10" x14ac:dyDescent="0.3">
      <c r="A1442" s="1">
        <v>44096</v>
      </c>
      <c r="B1442" s="2">
        <v>10.45</v>
      </c>
      <c r="C1442" s="2">
        <v>11.17</v>
      </c>
      <c r="D1442" s="2">
        <v>9.9</v>
      </c>
      <c r="E1442" s="2">
        <v>10.56</v>
      </c>
      <c r="F1442" s="3">
        <v>10.56</v>
      </c>
      <c r="G1442" s="4">
        <v>34752500</v>
      </c>
      <c r="H1442">
        <f t="shared" si="26"/>
        <v>0.18801957790859236</v>
      </c>
      <c r="I1442">
        <f t="shared" si="27"/>
        <v>6.1959862279859806E-2</v>
      </c>
      <c r="J1442">
        <f t="shared" si="28"/>
        <v>0.98358232116192335</v>
      </c>
    </row>
    <row r="1443" spans="1:10" x14ac:dyDescent="0.3">
      <c r="A1443" s="1">
        <v>44097</v>
      </c>
      <c r="B1443" s="2">
        <v>10.6</v>
      </c>
      <c r="C1443" s="2">
        <v>10.86</v>
      </c>
      <c r="D1443" s="2">
        <v>9.92</v>
      </c>
      <c r="E1443" s="2">
        <v>10.039999999999999</v>
      </c>
      <c r="F1443" s="3">
        <v>10.039999999999999</v>
      </c>
      <c r="G1443" s="4">
        <v>10651200</v>
      </c>
      <c r="H1443">
        <f t="shared" si="26"/>
        <v>-5.0496164014532462E-2</v>
      </c>
      <c r="I1443">
        <f t="shared" si="27"/>
        <v>6.192470634832424E-2</v>
      </c>
      <c r="J1443">
        <f t="shared" si="28"/>
        <v>0.98302423805021188</v>
      </c>
    </row>
    <row r="1444" spans="1:10" x14ac:dyDescent="0.3">
      <c r="A1444" s="1">
        <v>44098</v>
      </c>
      <c r="B1444" s="2">
        <v>9.7100000000000009</v>
      </c>
      <c r="C1444" s="2">
        <v>9.81</v>
      </c>
      <c r="D1444" s="2">
        <v>9.01</v>
      </c>
      <c r="E1444" s="2">
        <v>9.14</v>
      </c>
      <c r="F1444" s="3">
        <v>9.14</v>
      </c>
      <c r="G1444" s="4">
        <v>7938800</v>
      </c>
      <c r="H1444">
        <f t="shared" si="26"/>
        <v>-9.3916728797524412E-2</v>
      </c>
      <c r="I1444">
        <f t="shared" si="27"/>
        <v>6.2221548403714903E-2</v>
      </c>
      <c r="J1444">
        <f t="shared" si="28"/>
        <v>0.98773645959358558</v>
      </c>
    </row>
    <row r="1445" spans="1:10" x14ac:dyDescent="0.3">
      <c r="A1445" s="1">
        <v>44099</v>
      </c>
      <c r="B1445" s="2">
        <v>9.19</v>
      </c>
      <c r="C1445" s="2">
        <v>10.18</v>
      </c>
      <c r="D1445" s="2">
        <v>9.1</v>
      </c>
      <c r="E1445" s="2">
        <v>10.02</v>
      </c>
      <c r="F1445" s="3">
        <v>10.02</v>
      </c>
      <c r="G1445" s="4">
        <v>7515200</v>
      </c>
      <c r="H1445">
        <f t="shared" si="26"/>
        <v>9.1922710190659992E-2</v>
      </c>
      <c r="I1445">
        <f t="shared" si="27"/>
        <v>6.2437771100735354E-2</v>
      </c>
      <c r="J1445">
        <f t="shared" si="28"/>
        <v>0.99116888849832829</v>
      </c>
    </row>
    <row r="1446" spans="1:10" x14ac:dyDescent="0.3">
      <c r="A1446" s="1">
        <v>44102</v>
      </c>
      <c r="B1446" s="2">
        <v>10.16</v>
      </c>
      <c r="C1446" s="2">
        <v>10.26</v>
      </c>
      <c r="D1446" s="2">
        <v>9.5500000000000007</v>
      </c>
      <c r="E1446" s="2">
        <v>10.09</v>
      </c>
      <c r="F1446" s="3">
        <v>10.09</v>
      </c>
      <c r="G1446" s="4">
        <v>6764300</v>
      </c>
      <c r="H1446">
        <f t="shared" si="26"/>
        <v>6.9617387087989218E-3</v>
      </c>
      <c r="I1446">
        <f t="shared" si="27"/>
        <v>6.2433263723459753E-2</v>
      </c>
      <c r="J1446">
        <f t="shared" si="28"/>
        <v>0.99109733610230999</v>
      </c>
    </row>
    <row r="1447" spans="1:10" x14ac:dyDescent="0.3">
      <c r="A1447" s="1">
        <v>44103</v>
      </c>
      <c r="B1447" s="2">
        <v>10</v>
      </c>
      <c r="C1447" s="2">
        <v>10.65</v>
      </c>
      <c r="D1447" s="2">
        <v>9.93</v>
      </c>
      <c r="E1447" s="2">
        <v>10.35</v>
      </c>
      <c r="F1447" s="3">
        <v>10.35</v>
      </c>
      <c r="G1447" s="4">
        <v>5237600</v>
      </c>
      <c r="H1447">
        <f t="shared" si="26"/>
        <v>2.544168534586037E-2</v>
      </c>
      <c r="I1447">
        <f t="shared" si="27"/>
        <v>6.2447448944015188E-2</v>
      </c>
      <c r="J1447">
        <f t="shared" si="28"/>
        <v>0.99132251949760364</v>
      </c>
    </row>
    <row r="1448" spans="1:10" x14ac:dyDescent="0.3">
      <c r="A1448" s="1">
        <v>44104</v>
      </c>
      <c r="B1448" s="2">
        <v>10.25</v>
      </c>
      <c r="C1448" s="2">
        <v>10.76</v>
      </c>
      <c r="D1448" s="2">
        <v>10.06</v>
      </c>
      <c r="E1448" s="2">
        <v>10.199999999999999</v>
      </c>
      <c r="F1448" s="3">
        <v>10.199999999999999</v>
      </c>
      <c r="G1448" s="4">
        <v>6079000</v>
      </c>
      <c r="H1448">
        <f t="shared" si="26"/>
        <v>-1.4598799421152749E-2</v>
      </c>
      <c r="I1448">
        <f t="shared" si="27"/>
        <v>6.2426947199932907E-2</v>
      </c>
      <c r="J1448">
        <f t="shared" si="28"/>
        <v>0.99099706439989477</v>
      </c>
    </row>
    <row r="1449" spans="1:10" x14ac:dyDescent="0.3">
      <c r="A1449" s="1">
        <v>44105</v>
      </c>
      <c r="B1449" s="2">
        <v>10.09</v>
      </c>
      <c r="C1449" s="2">
        <v>10.25</v>
      </c>
      <c r="D1449" s="2">
        <v>9.69</v>
      </c>
      <c r="E1449" s="2">
        <v>9.77</v>
      </c>
      <c r="F1449" s="3">
        <v>9.77</v>
      </c>
      <c r="G1449" s="4">
        <v>4554100</v>
      </c>
      <c r="H1449">
        <f t="shared" si="26"/>
        <v>-4.3071254235533984E-2</v>
      </c>
      <c r="I1449">
        <f t="shared" si="27"/>
        <v>6.2490110274251387E-2</v>
      </c>
      <c r="J1449">
        <f t="shared" si="28"/>
        <v>0.9919997471200287</v>
      </c>
    </row>
    <row r="1450" spans="1:10" x14ac:dyDescent="0.3">
      <c r="A1450" s="1">
        <v>44106</v>
      </c>
      <c r="B1450" s="2">
        <v>9.3800000000000008</v>
      </c>
      <c r="C1450" s="2">
        <v>9.7799999999999994</v>
      </c>
      <c r="D1450" s="2">
        <v>9.3000000000000007</v>
      </c>
      <c r="E1450" s="2">
        <v>9.39</v>
      </c>
      <c r="F1450" s="3">
        <v>9.39</v>
      </c>
      <c r="G1450" s="4">
        <v>4340500</v>
      </c>
      <c r="H1450">
        <f t="shared" si="26"/>
        <v>-3.9671172834519715E-2</v>
      </c>
      <c r="I1450">
        <f t="shared" si="27"/>
        <v>6.2466646937023453E-2</v>
      </c>
      <c r="J1450">
        <f t="shared" si="28"/>
        <v>0.99162727818863217</v>
      </c>
    </row>
    <row r="1451" spans="1:10" x14ac:dyDescent="0.3">
      <c r="A1451" s="1">
        <v>44109</v>
      </c>
      <c r="B1451" s="2">
        <v>9.44</v>
      </c>
      <c r="C1451" s="2">
        <v>9.59</v>
      </c>
      <c r="D1451" s="2">
        <v>9.25</v>
      </c>
      <c r="E1451" s="2">
        <v>9.4600000000000009</v>
      </c>
      <c r="F1451" s="3">
        <v>9.4600000000000009</v>
      </c>
      <c r="G1451" s="4">
        <v>2805000</v>
      </c>
      <c r="H1451">
        <f t="shared" si="26"/>
        <v>7.4270898436155017E-3</v>
      </c>
      <c r="I1451">
        <f t="shared" si="27"/>
        <v>6.2458964660369834E-2</v>
      </c>
      <c r="J1451">
        <f t="shared" si="28"/>
        <v>0.99150532582746254</v>
      </c>
    </row>
    <row r="1452" spans="1:10" x14ac:dyDescent="0.3">
      <c r="A1452" s="1">
        <v>44110</v>
      </c>
      <c r="B1452" s="2">
        <v>9.56</v>
      </c>
      <c r="C1452" s="2">
        <v>9.84</v>
      </c>
      <c r="D1452" s="2">
        <v>9.1</v>
      </c>
      <c r="E1452" s="2">
        <v>9.1300000000000008</v>
      </c>
      <c r="F1452" s="3">
        <v>9.1300000000000008</v>
      </c>
      <c r="G1452" s="4">
        <v>4535400</v>
      </c>
      <c r="H1452">
        <f t="shared" si="26"/>
        <v>-3.5506688456909762E-2</v>
      </c>
      <c r="I1452">
        <f t="shared" si="27"/>
        <v>6.2489001713822316E-2</v>
      </c>
      <c r="J1452">
        <f t="shared" si="28"/>
        <v>0.99198214926877715</v>
      </c>
    </row>
    <row r="1453" spans="1:10" x14ac:dyDescent="0.3">
      <c r="A1453" s="1">
        <v>44111</v>
      </c>
      <c r="B1453" s="2">
        <v>9.23</v>
      </c>
      <c r="C1453" s="2">
        <v>9.56</v>
      </c>
      <c r="D1453" s="2">
        <v>9.17</v>
      </c>
      <c r="E1453" s="2">
        <v>9.36</v>
      </c>
      <c r="F1453" s="3">
        <v>9.36</v>
      </c>
      <c r="G1453" s="4">
        <v>3308600</v>
      </c>
      <c r="H1453">
        <f t="shared" si="26"/>
        <v>2.4879595882623472E-2</v>
      </c>
      <c r="I1453">
        <f t="shared" si="27"/>
        <v>6.2500276410233618E-2</v>
      </c>
      <c r="J1453">
        <f t="shared" si="28"/>
        <v>0.99216112952564939</v>
      </c>
    </row>
    <row r="1454" spans="1:10" x14ac:dyDescent="0.3">
      <c r="A1454" s="1">
        <v>44112</v>
      </c>
      <c r="B1454" s="2">
        <v>9.5399999999999991</v>
      </c>
      <c r="C1454" s="2">
        <v>13.64</v>
      </c>
      <c r="D1454" s="2">
        <v>9.19</v>
      </c>
      <c r="E1454" s="2">
        <v>13.49</v>
      </c>
      <c r="F1454" s="3">
        <v>13.49</v>
      </c>
      <c r="G1454" s="4">
        <v>76453600</v>
      </c>
      <c r="H1454">
        <f t="shared" si="26"/>
        <v>0.365503379730164</v>
      </c>
      <c r="I1454">
        <f t="shared" si="27"/>
        <v>6.6463943789367805E-2</v>
      </c>
      <c r="J1454">
        <f t="shared" si="28"/>
        <v>1.0550823985154587</v>
      </c>
    </row>
    <row r="1455" spans="1:10" x14ac:dyDescent="0.3">
      <c r="A1455" s="1">
        <v>44113</v>
      </c>
      <c r="B1455" s="2">
        <v>12.83</v>
      </c>
      <c r="C1455" s="2">
        <v>14.8</v>
      </c>
      <c r="D1455" s="2">
        <v>11.9</v>
      </c>
      <c r="E1455" s="2">
        <v>12.02</v>
      </c>
      <c r="F1455" s="3">
        <v>12.02</v>
      </c>
      <c r="G1455" s="4">
        <v>77152800</v>
      </c>
      <c r="H1455">
        <f t="shared" si="26"/>
        <v>-0.1153767411126031</v>
      </c>
      <c r="I1455">
        <f t="shared" si="27"/>
        <v>6.680930681876783E-2</v>
      </c>
      <c r="J1455">
        <f t="shared" si="28"/>
        <v>1.060564866642429</v>
      </c>
    </row>
    <row r="1456" spans="1:10" x14ac:dyDescent="0.3">
      <c r="A1456" s="1">
        <v>44116</v>
      </c>
      <c r="B1456" s="2">
        <v>11.66</v>
      </c>
      <c r="C1456" s="2">
        <v>12.77</v>
      </c>
      <c r="D1456" s="2">
        <v>11.4</v>
      </c>
      <c r="E1456" s="2">
        <v>11.8</v>
      </c>
      <c r="F1456" s="3">
        <v>11.8</v>
      </c>
      <c r="G1456" s="4">
        <v>23655700</v>
      </c>
      <c r="H1456">
        <f t="shared" si="26"/>
        <v>-1.8472397635442315E-2</v>
      </c>
      <c r="I1456">
        <f t="shared" si="27"/>
        <v>6.6821367866903597E-2</v>
      </c>
      <c r="J1456">
        <f t="shared" si="28"/>
        <v>1.060756329845937</v>
      </c>
    </row>
    <row r="1457" spans="1:10" x14ac:dyDescent="0.3">
      <c r="A1457" s="1">
        <v>44117</v>
      </c>
      <c r="B1457" s="2">
        <v>11.73</v>
      </c>
      <c r="C1457" s="2">
        <v>12.42</v>
      </c>
      <c r="D1457" s="2">
        <v>11.65</v>
      </c>
      <c r="E1457" s="2">
        <v>11.88</v>
      </c>
      <c r="F1457" s="3">
        <v>11.88</v>
      </c>
      <c r="G1457" s="4">
        <v>10179700</v>
      </c>
      <c r="H1457">
        <f t="shared" si="26"/>
        <v>6.7567824628799074E-3</v>
      </c>
      <c r="I1457">
        <f t="shared" si="27"/>
        <v>6.6721104893316008E-2</v>
      </c>
      <c r="J1457">
        <f t="shared" si="28"/>
        <v>1.0591647044830135</v>
      </c>
    </row>
    <row r="1458" spans="1:10" x14ac:dyDescent="0.3">
      <c r="A1458" s="1">
        <v>44118</v>
      </c>
      <c r="B1458" s="2">
        <v>12.67</v>
      </c>
      <c r="C1458" s="2">
        <v>12.68</v>
      </c>
      <c r="D1458" s="2">
        <v>12.05</v>
      </c>
      <c r="E1458" s="2">
        <v>12.25</v>
      </c>
      <c r="F1458" s="3">
        <v>12.25</v>
      </c>
      <c r="G1458" s="4">
        <v>10776800</v>
      </c>
      <c r="H1458">
        <f t="shared" si="26"/>
        <v>3.0669623056237119E-2</v>
      </c>
      <c r="I1458">
        <f t="shared" si="27"/>
        <v>6.6706743436341157E-2</v>
      </c>
      <c r="J1458">
        <f t="shared" si="28"/>
        <v>1.0589367234212934</v>
      </c>
    </row>
    <row r="1459" spans="1:10" x14ac:dyDescent="0.3">
      <c r="A1459" s="1">
        <v>44119</v>
      </c>
      <c r="B1459" s="2">
        <v>11.99</v>
      </c>
      <c r="C1459" s="2">
        <v>15.1</v>
      </c>
      <c r="D1459" s="2">
        <v>11.99</v>
      </c>
      <c r="E1459" s="2">
        <v>13.83</v>
      </c>
      <c r="F1459" s="3">
        <v>13.83</v>
      </c>
      <c r="G1459" s="4">
        <v>39894800</v>
      </c>
      <c r="H1459">
        <f t="shared" si="26"/>
        <v>0.12131420868593085</v>
      </c>
      <c r="I1459">
        <f t="shared" si="27"/>
        <v>6.7119339868120798E-2</v>
      </c>
      <c r="J1459">
        <f t="shared" si="28"/>
        <v>1.0654864887232227</v>
      </c>
    </row>
    <row r="1460" spans="1:10" x14ac:dyDescent="0.3">
      <c r="A1460" s="1">
        <v>44120</v>
      </c>
      <c r="B1460" s="2">
        <v>13.77</v>
      </c>
      <c r="C1460" s="2">
        <v>13.9</v>
      </c>
      <c r="D1460" s="2">
        <v>13.08</v>
      </c>
      <c r="E1460" s="2">
        <v>13.31</v>
      </c>
      <c r="F1460" s="3">
        <v>13.31</v>
      </c>
      <c r="G1460" s="4">
        <v>11651600</v>
      </c>
      <c r="H1460">
        <f t="shared" si="26"/>
        <v>-3.8324513269646497E-2</v>
      </c>
      <c r="I1460">
        <f t="shared" si="27"/>
        <v>6.7114582112169752E-2</v>
      </c>
      <c r="J1460">
        <f t="shared" si="28"/>
        <v>1.0654109616889516</v>
      </c>
    </row>
    <row r="1461" spans="1:10" x14ac:dyDescent="0.3">
      <c r="A1461" s="1">
        <v>44123</v>
      </c>
      <c r="B1461" s="2">
        <v>13.44</v>
      </c>
      <c r="C1461" s="2">
        <v>14.5</v>
      </c>
      <c r="D1461" s="2">
        <v>13.38</v>
      </c>
      <c r="E1461" s="2">
        <v>13.91</v>
      </c>
      <c r="F1461" s="3">
        <v>13.91</v>
      </c>
      <c r="G1461" s="4">
        <v>13169100</v>
      </c>
      <c r="H1461">
        <f t="shared" si="26"/>
        <v>4.4092373528331272E-2</v>
      </c>
      <c r="I1461">
        <f t="shared" si="27"/>
        <v>6.7149638059110103E-2</v>
      </c>
      <c r="J1461">
        <f t="shared" si="28"/>
        <v>1.0659674575944198</v>
      </c>
    </row>
    <row r="1462" spans="1:10" x14ac:dyDescent="0.3">
      <c r="A1462" s="1">
        <v>44124</v>
      </c>
      <c r="B1462" s="2">
        <v>14.03</v>
      </c>
      <c r="C1462" s="2">
        <v>14.14</v>
      </c>
      <c r="D1462" s="2">
        <v>13.67</v>
      </c>
      <c r="E1462" s="2">
        <v>13.86</v>
      </c>
      <c r="F1462" s="3">
        <v>13.86</v>
      </c>
      <c r="G1462" s="4">
        <v>6604000</v>
      </c>
      <c r="H1462">
        <f t="shared" si="26"/>
        <v>-3.6010121735944541E-3</v>
      </c>
      <c r="I1462">
        <f t="shared" si="27"/>
        <v>6.7141090574962425E-2</v>
      </c>
      <c r="J1462">
        <f t="shared" si="28"/>
        <v>1.0658317704900797</v>
      </c>
    </row>
    <row r="1463" spans="1:10" x14ac:dyDescent="0.3">
      <c r="A1463" s="1">
        <v>44125</v>
      </c>
      <c r="B1463" s="2">
        <v>13.9</v>
      </c>
      <c r="C1463" s="2">
        <v>14.42</v>
      </c>
      <c r="D1463" s="2">
        <v>13.8</v>
      </c>
      <c r="E1463" s="2">
        <v>14.1</v>
      </c>
      <c r="F1463" s="3">
        <v>14.1</v>
      </c>
      <c r="G1463" s="4">
        <v>5361900</v>
      </c>
      <c r="H1463">
        <f t="shared" si="26"/>
        <v>1.7167803622365498E-2</v>
      </c>
      <c r="I1463">
        <f t="shared" si="27"/>
        <v>6.7145943187103665E-2</v>
      </c>
      <c r="J1463">
        <f t="shared" si="28"/>
        <v>1.0659088033196882</v>
      </c>
    </row>
    <row r="1464" spans="1:10" x14ac:dyDescent="0.3">
      <c r="A1464" s="1">
        <v>44126</v>
      </c>
      <c r="B1464" s="2">
        <v>14.2</v>
      </c>
      <c r="C1464" s="2">
        <v>15.87</v>
      </c>
      <c r="D1464" s="2">
        <v>14.19</v>
      </c>
      <c r="E1464" s="2">
        <v>14.91</v>
      </c>
      <c r="F1464" s="3">
        <v>14.91</v>
      </c>
      <c r="G1464" s="4">
        <v>16212200</v>
      </c>
      <c r="H1464">
        <f t="shared" si="26"/>
        <v>5.5857331392524481E-2</v>
      </c>
      <c r="I1464">
        <f t="shared" si="27"/>
        <v>6.7076943103093964E-2</v>
      </c>
      <c r="J1464">
        <f t="shared" si="28"/>
        <v>1.0648134609432949</v>
      </c>
    </row>
    <row r="1465" spans="1:10" x14ac:dyDescent="0.3">
      <c r="A1465" s="1">
        <v>44127</v>
      </c>
      <c r="B1465" s="2">
        <v>15.05</v>
      </c>
      <c r="C1465" s="2">
        <v>15.38</v>
      </c>
      <c r="D1465" s="2">
        <v>14.55</v>
      </c>
      <c r="E1465" s="2">
        <v>15</v>
      </c>
      <c r="F1465" s="3">
        <v>15</v>
      </c>
      <c r="G1465" s="4">
        <v>6507300</v>
      </c>
      <c r="H1465">
        <f t="shared" si="26"/>
        <v>6.0180723255629448E-3</v>
      </c>
      <c r="I1465">
        <f t="shared" si="27"/>
        <v>6.7076906551599855E-2</v>
      </c>
      <c r="J1465">
        <f t="shared" si="28"/>
        <v>1.0648128807063142</v>
      </c>
    </row>
    <row r="1466" spans="1:10" x14ac:dyDescent="0.3">
      <c r="A1466" s="1">
        <v>44130</v>
      </c>
      <c r="B1466" s="2">
        <v>14.93</v>
      </c>
      <c r="C1466" s="2">
        <v>15.45</v>
      </c>
      <c r="D1466" s="2">
        <v>13.26</v>
      </c>
      <c r="E1466" s="2">
        <v>13.45</v>
      </c>
      <c r="F1466" s="3">
        <v>13.45</v>
      </c>
      <c r="G1466" s="4">
        <v>13376300</v>
      </c>
      <c r="H1466">
        <f t="shared" si="26"/>
        <v>-0.10907109505436201</v>
      </c>
      <c r="I1466">
        <f t="shared" si="27"/>
        <v>6.7447651896251057E-2</v>
      </c>
      <c r="J1466">
        <f t="shared" si="28"/>
        <v>1.0706982805964063</v>
      </c>
    </row>
    <row r="1467" spans="1:10" x14ac:dyDescent="0.3">
      <c r="A1467" s="1">
        <v>44131</v>
      </c>
      <c r="B1467" s="2">
        <v>13.71</v>
      </c>
      <c r="C1467" s="2">
        <v>13.71</v>
      </c>
      <c r="D1467" s="2">
        <v>12.36</v>
      </c>
      <c r="E1467" s="2">
        <v>12.69</v>
      </c>
      <c r="F1467" s="3">
        <v>12.69</v>
      </c>
      <c r="G1467" s="4">
        <v>7231000</v>
      </c>
      <c r="H1467">
        <f t="shared" si="26"/>
        <v>-5.8164824321551803E-2</v>
      </c>
      <c r="I1467">
        <f t="shared" si="27"/>
        <v>6.7551418108672087E-2</v>
      </c>
      <c r="J1467">
        <f t="shared" si="28"/>
        <v>1.0723455181517492</v>
      </c>
    </row>
    <row r="1468" spans="1:10" x14ac:dyDescent="0.3">
      <c r="A1468" s="1">
        <v>44132</v>
      </c>
      <c r="B1468" s="2">
        <v>12.27</v>
      </c>
      <c r="C1468" s="2">
        <v>13.05</v>
      </c>
      <c r="D1468" s="2">
        <v>11.78</v>
      </c>
      <c r="E1468" s="2">
        <v>11.82</v>
      </c>
      <c r="F1468" s="3">
        <v>11.82</v>
      </c>
      <c r="G1468" s="4">
        <v>6388600</v>
      </c>
      <c r="H1468">
        <f t="shared" si="26"/>
        <v>-7.1021269748344135E-2</v>
      </c>
      <c r="I1468">
        <f t="shared" si="27"/>
        <v>6.7687380426796007E-2</v>
      </c>
      <c r="J1468">
        <f t="shared" si="28"/>
        <v>1.0745038530403395</v>
      </c>
    </row>
    <row r="1469" spans="1:10" x14ac:dyDescent="0.3">
      <c r="A1469" s="1">
        <v>44133</v>
      </c>
      <c r="B1469" s="2">
        <v>11.88</v>
      </c>
      <c r="C1469" s="2">
        <v>12.25</v>
      </c>
      <c r="D1469" s="2">
        <v>11.68</v>
      </c>
      <c r="E1469" s="2">
        <v>11.73</v>
      </c>
      <c r="F1469" s="3">
        <v>11.73</v>
      </c>
      <c r="G1469" s="4">
        <v>4165800</v>
      </c>
      <c r="H1469">
        <f t="shared" si="26"/>
        <v>-7.6433493125680121E-3</v>
      </c>
      <c r="I1469">
        <f t="shared" si="27"/>
        <v>6.7562610863895742E-2</v>
      </c>
      <c r="J1469">
        <f t="shared" si="28"/>
        <v>1.0725231976325935</v>
      </c>
    </row>
    <row r="1470" spans="1:10" x14ac:dyDescent="0.3">
      <c r="A1470" s="1">
        <v>44134</v>
      </c>
      <c r="B1470" s="2">
        <v>11.64</v>
      </c>
      <c r="C1470" s="2">
        <v>11.64</v>
      </c>
      <c r="D1470" s="2">
        <v>10.36</v>
      </c>
      <c r="E1470" s="2">
        <v>10.47</v>
      </c>
      <c r="F1470" s="3">
        <v>10.47</v>
      </c>
      <c r="G1470" s="4">
        <v>11546900</v>
      </c>
      <c r="H1470">
        <f t="shared" si="26"/>
        <v>-0.11363563778293856</v>
      </c>
      <c r="I1470">
        <f t="shared" si="27"/>
        <v>6.7950191849762642E-2</v>
      </c>
      <c r="J1470">
        <f t="shared" si="28"/>
        <v>1.0786758550415998</v>
      </c>
    </row>
    <row r="1471" spans="1:10" x14ac:dyDescent="0.3">
      <c r="A1471" s="1">
        <v>44137</v>
      </c>
      <c r="B1471" s="2">
        <v>10.82</v>
      </c>
      <c r="C1471" s="2">
        <v>11.09</v>
      </c>
      <c r="D1471" s="2">
        <v>10.5</v>
      </c>
      <c r="E1471" s="2">
        <v>10.75</v>
      </c>
      <c r="F1471" s="3">
        <v>10.75</v>
      </c>
      <c r="G1471" s="4">
        <v>5227000</v>
      </c>
      <c r="H1471">
        <f t="shared" si="26"/>
        <v>2.6391729691226194E-2</v>
      </c>
      <c r="I1471">
        <f t="shared" si="27"/>
        <v>6.7880123869081654E-2</v>
      </c>
      <c r="J1471">
        <f t="shared" si="28"/>
        <v>1.0775635603310976</v>
      </c>
    </row>
    <row r="1472" spans="1:10" x14ac:dyDescent="0.3">
      <c r="A1472" s="1">
        <v>44138</v>
      </c>
      <c r="B1472" s="2">
        <v>10.75</v>
      </c>
      <c r="C1472" s="2">
        <v>11.86</v>
      </c>
      <c r="D1472" s="2">
        <v>10.63</v>
      </c>
      <c r="E1472" s="2">
        <v>11.57</v>
      </c>
      <c r="F1472" s="3">
        <v>11.57</v>
      </c>
      <c r="G1472" s="4">
        <v>7454500</v>
      </c>
      <c r="H1472">
        <f t="shared" si="26"/>
        <v>7.3509786631913349E-2</v>
      </c>
      <c r="I1472">
        <f t="shared" si="27"/>
        <v>6.7890521319038E-2</v>
      </c>
      <c r="J1472">
        <f t="shared" si="28"/>
        <v>1.07772861473222</v>
      </c>
    </row>
    <row r="1473" spans="1:10" x14ac:dyDescent="0.3">
      <c r="A1473" s="1">
        <v>44139</v>
      </c>
      <c r="B1473" s="2">
        <v>11.76</v>
      </c>
      <c r="C1473" s="2">
        <v>11.77</v>
      </c>
      <c r="D1473" s="2">
        <v>10.61</v>
      </c>
      <c r="E1473" s="2">
        <v>10.91</v>
      </c>
      <c r="F1473" s="3">
        <v>10.91</v>
      </c>
      <c r="G1473" s="4">
        <v>5807900</v>
      </c>
      <c r="H1473">
        <f t="shared" si="26"/>
        <v>-5.8735741360605796E-2</v>
      </c>
      <c r="I1473">
        <f t="shared" si="27"/>
        <v>6.8000296932336779E-2</v>
      </c>
      <c r="J1473">
        <f t="shared" si="28"/>
        <v>1.079471248569069</v>
      </c>
    </row>
    <row r="1474" spans="1:10" x14ac:dyDescent="0.3">
      <c r="A1474" s="1">
        <v>44140</v>
      </c>
      <c r="B1474" s="2">
        <v>11.27</v>
      </c>
      <c r="C1474" s="2">
        <v>11.84</v>
      </c>
      <c r="D1474" s="2">
        <v>11.06</v>
      </c>
      <c r="E1474" s="2">
        <v>11.45</v>
      </c>
      <c r="F1474" s="3">
        <v>11.45</v>
      </c>
      <c r="G1474" s="4">
        <v>4705200</v>
      </c>
      <c r="H1474">
        <f t="shared" si="26"/>
        <v>4.8309930155269201E-2</v>
      </c>
      <c r="I1474">
        <f t="shared" si="27"/>
        <v>6.8059685016597149E-2</v>
      </c>
      <c r="J1474">
        <f t="shared" si="28"/>
        <v>1.0804140051798299</v>
      </c>
    </row>
    <row r="1475" spans="1:10" x14ac:dyDescent="0.3">
      <c r="A1475" s="1">
        <v>44141</v>
      </c>
      <c r="B1475" s="2">
        <v>11.52</v>
      </c>
      <c r="C1475" s="2">
        <v>12.17</v>
      </c>
      <c r="D1475" s="2">
        <v>11.32</v>
      </c>
      <c r="E1475" s="2">
        <v>11.86</v>
      </c>
      <c r="F1475" s="3">
        <v>11.86</v>
      </c>
      <c r="G1475" s="4">
        <v>5518200</v>
      </c>
      <c r="H1475">
        <f t="shared" si="26"/>
        <v>3.5181663569330668E-2</v>
      </c>
      <c r="I1475">
        <f t="shared" si="27"/>
        <v>6.8068734313243728E-2</v>
      </c>
      <c r="J1475">
        <f t="shared" si="28"/>
        <v>1.0805576583106313</v>
      </c>
    </row>
    <row r="1476" spans="1:10" x14ac:dyDescent="0.3">
      <c r="A1476" s="1">
        <v>44144</v>
      </c>
      <c r="B1476" s="2">
        <v>12.76</v>
      </c>
      <c r="C1476" s="2">
        <v>12.93</v>
      </c>
      <c r="D1476" s="2">
        <v>11.25</v>
      </c>
      <c r="E1476" s="2">
        <v>11.49</v>
      </c>
      <c r="F1476" s="3">
        <v>11.49</v>
      </c>
      <c r="G1476" s="4">
        <v>6244900</v>
      </c>
      <c r="H1476">
        <f t="shared" ref="H1476:H1539" si="29">LN(E1476/E1475)</f>
        <v>-3.1694301708914976E-2</v>
      </c>
      <c r="I1476">
        <f t="shared" si="27"/>
        <v>6.8092797044221998E-2</v>
      </c>
      <c r="J1476">
        <f t="shared" si="28"/>
        <v>1.0809396423228326</v>
      </c>
    </row>
    <row r="1477" spans="1:10" x14ac:dyDescent="0.3">
      <c r="A1477" s="1">
        <v>44145</v>
      </c>
      <c r="B1477" s="2">
        <v>11.5</v>
      </c>
      <c r="C1477" s="2">
        <v>11.66</v>
      </c>
      <c r="D1477" s="2">
        <v>10.83</v>
      </c>
      <c r="E1477" s="2">
        <v>11.1</v>
      </c>
      <c r="F1477" s="3">
        <v>11.1</v>
      </c>
      <c r="G1477" s="4">
        <v>3826000</v>
      </c>
      <c r="H1477">
        <f t="shared" si="29"/>
        <v>-3.4531983542375924E-2</v>
      </c>
      <c r="I1477">
        <f t="shared" si="27"/>
        <v>6.8116414837583336E-2</v>
      </c>
      <c r="J1477">
        <f t="shared" si="28"/>
        <v>1.0813145631693339</v>
      </c>
    </row>
    <row r="1478" spans="1:10" x14ac:dyDescent="0.3">
      <c r="A1478" s="1">
        <v>44146</v>
      </c>
      <c r="B1478" s="2">
        <v>11.5</v>
      </c>
      <c r="C1478" s="2">
        <v>11.95</v>
      </c>
      <c r="D1478" s="2">
        <v>11.21</v>
      </c>
      <c r="E1478" s="2">
        <v>11.75</v>
      </c>
      <c r="F1478" s="3">
        <v>11.75</v>
      </c>
      <c r="G1478" s="4">
        <v>4882600</v>
      </c>
      <c r="H1478">
        <f t="shared" si="29"/>
        <v>5.6908132271879582E-2</v>
      </c>
      <c r="I1478">
        <f t="shared" si="27"/>
        <v>6.8196803883121479E-2</v>
      </c>
      <c r="J1478">
        <f t="shared" si="28"/>
        <v>1.0825906997051005</v>
      </c>
    </row>
    <row r="1479" spans="1:10" x14ac:dyDescent="0.3">
      <c r="A1479" s="1">
        <v>44147</v>
      </c>
      <c r="B1479" s="2">
        <v>11.74</v>
      </c>
      <c r="C1479" s="2">
        <v>11.87</v>
      </c>
      <c r="D1479" s="2">
        <v>10.97</v>
      </c>
      <c r="E1479" s="2">
        <v>11.13</v>
      </c>
      <c r="F1479" s="3">
        <v>11.13</v>
      </c>
      <c r="G1479" s="4">
        <v>4353300</v>
      </c>
      <c r="H1479">
        <f t="shared" si="29"/>
        <v>-5.4209075302714446E-2</v>
      </c>
      <c r="I1479">
        <f t="shared" si="27"/>
        <v>6.8279686883019053E-2</v>
      </c>
      <c r="J1479">
        <f t="shared" si="28"/>
        <v>1.0839064265389644</v>
      </c>
    </row>
    <row r="1480" spans="1:10" x14ac:dyDescent="0.3">
      <c r="A1480" s="1">
        <v>44148</v>
      </c>
      <c r="B1480" s="2">
        <v>11.36</v>
      </c>
      <c r="C1480" s="2">
        <v>11.55</v>
      </c>
      <c r="D1480" s="2">
        <v>11</v>
      </c>
      <c r="E1480" s="2">
        <v>11.01</v>
      </c>
      <c r="F1480" s="3">
        <v>11.01</v>
      </c>
      <c r="G1480" s="4">
        <v>3535900</v>
      </c>
      <c r="H1480">
        <f t="shared" si="29"/>
        <v>-1.0840214552864946E-2</v>
      </c>
      <c r="I1480">
        <f t="shared" si="27"/>
        <v>6.8284808811510361E-2</v>
      </c>
      <c r="J1480">
        <f t="shared" si="28"/>
        <v>1.0839877346330908</v>
      </c>
    </row>
    <row r="1481" spans="1:10" x14ac:dyDescent="0.3">
      <c r="A1481" s="1">
        <v>44151</v>
      </c>
      <c r="B1481" s="2">
        <v>11.16</v>
      </c>
      <c r="C1481" s="2">
        <v>12.66</v>
      </c>
      <c r="D1481" s="2">
        <v>10.72</v>
      </c>
      <c r="E1481" s="2">
        <v>12.06</v>
      </c>
      <c r="F1481" s="3">
        <v>12.06</v>
      </c>
      <c r="G1481" s="4">
        <v>9774800</v>
      </c>
      <c r="H1481">
        <f t="shared" si="29"/>
        <v>9.1090240564450753E-2</v>
      </c>
      <c r="I1481">
        <f t="shared" si="27"/>
        <v>6.8511441449817356E-2</v>
      </c>
      <c r="J1481">
        <f t="shared" si="28"/>
        <v>1.0875854162326752</v>
      </c>
    </row>
    <row r="1482" spans="1:10" x14ac:dyDescent="0.3">
      <c r="A1482" s="1">
        <v>44152</v>
      </c>
      <c r="B1482" s="2">
        <v>11.65</v>
      </c>
      <c r="C1482" s="2">
        <v>11.92</v>
      </c>
      <c r="D1482" s="2">
        <v>11.23</v>
      </c>
      <c r="E1482" s="2">
        <v>11.63</v>
      </c>
      <c r="F1482" s="3">
        <v>11.63</v>
      </c>
      <c r="G1482" s="4">
        <v>6678200</v>
      </c>
      <c r="H1482">
        <f t="shared" si="29"/>
        <v>-3.630622476846633E-2</v>
      </c>
      <c r="I1482">
        <f t="shared" si="27"/>
        <v>6.8544450601974949E-2</v>
      </c>
      <c r="J1482">
        <f t="shared" si="28"/>
        <v>1.0881094202782637</v>
      </c>
    </row>
    <row r="1483" spans="1:10" x14ac:dyDescent="0.3">
      <c r="A1483" s="1">
        <v>44153</v>
      </c>
      <c r="B1483" s="2">
        <v>11.8</v>
      </c>
      <c r="C1483" s="2">
        <v>12.04</v>
      </c>
      <c r="D1483" s="2">
        <v>11.56</v>
      </c>
      <c r="E1483" s="2">
        <v>11.57</v>
      </c>
      <c r="F1483" s="3">
        <v>11.57</v>
      </c>
      <c r="G1483" s="4">
        <v>3169200</v>
      </c>
      <c r="H1483">
        <f t="shared" si="29"/>
        <v>-5.1724253249879277E-3</v>
      </c>
      <c r="I1483">
        <f t="shared" si="27"/>
        <v>6.8479555174757414E-2</v>
      </c>
      <c r="J1483">
        <f t="shared" si="28"/>
        <v>1.0870792373084064</v>
      </c>
    </row>
    <row r="1484" spans="1:10" x14ac:dyDescent="0.3">
      <c r="A1484" s="1">
        <v>44154</v>
      </c>
      <c r="B1484" s="2">
        <v>11.6</v>
      </c>
      <c r="C1484" s="2">
        <v>12.79</v>
      </c>
      <c r="D1484" s="2">
        <v>11.45</v>
      </c>
      <c r="E1484" s="2">
        <v>12.46</v>
      </c>
      <c r="F1484" s="3">
        <v>12.46</v>
      </c>
      <c r="G1484" s="4">
        <v>11787600</v>
      </c>
      <c r="H1484">
        <f t="shared" si="29"/>
        <v>7.4107972153721835E-2</v>
      </c>
      <c r="I1484">
        <f t="shared" si="27"/>
        <v>6.8608186843970159E-2</v>
      </c>
      <c r="J1484">
        <f t="shared" si="28"/>
        <v>1.0891212017531908</v>
      </c>
    </row>
    <row r="1485" spans="1:10" x14ac:dyDescent="0.3">
      <c r="A1485" s="1">
        <v>44155</v>
      </c>
      <c r="B1485" s="2">
        <v>12.55</v>
      </c>
      <c r="C1485" s="2">
        <v>13.46</v>
      </c>
      <c r="D1485" s="2">
        <v>12.54</v>
      </c>
      <c r="E1485" s="2">
        <v>12.71</v>
      </c>
      <c r="F1485" s="3">
        <v>12.71</v>
      </c>
      <c r="G1485" s="4">
        <v>8395400</v>
      </c>
      <c r="H1485">
        <f t="shared" si="29"/>
        <v>1.9865571842055504E-2</v>
      </c>
      <c r="I1485">
        <f t="shared" si="27"/>
        <v>6.8612895778515537E-2</v>
      </c>
      <c r="J1485">
        <f t="shared" si="28"/>
        <v>1.0891959537716736</v>
      </c>
    </row>
    <row r="1486" spans="1:10" x14ac:dyDescent="0.3">
      <c r="A1486" s="1">
        <v>44158</v>
      </c>
      <c r="B1486" s="2">
        <v>12.9</v>
      </c>
      <c r="C1486" s="2">
        <v>14.12</v>
      </c>
      <c r="D1486" s="2">
        <v>12.67</v>
      </c>
      <c r="E1486" s="2">
        <v>13.9</v>
      </c>
      <c r="F1486" s="3">
        <v>13.9</v>
      </c>
      <c r="G1486" s="4">
        <v>9599100</v>
      </c>
      <c r="H1486">
        <f t="shared" si="29"/>
        <v>8.9499754935283296E-2</v>
      </c>
      <c r="I1486">
        <f t="shared" si="27"/>
        <v>6.882601130282813E-2</v>
      </c>
      <c r="J1486">
        <f t="shared" si="28"/>
        <v>1.0925790578388233</v>
      </c>
    </row>
    <row r="1487" spans="1:10" x14ac:dyDescent="0.3">
      <c r="A1487" s="1">
        <v>44159</v>
      </c>
      <c r="B1487" s="2">
        <v>14.23</v>
      </c>
      <c r="C1487" s="2">
        <v>14.26</v>
      </c>
      <c r="D1487" s="2">
        <v>13.3</v>
      </c>
      <c r="E1487" s="2">
        <v>13.67</v>
      </c>
      <c r="F1487" s="3">
        <v>13.67</v>
      </c>
      <c r="G1487" s="4">
        <v>7183200</v>
      </c>
      <c r="H1487">
        <f t="shared" si="29"/>
        <v>-1.6685189400787868E-2</v>
      </c>
      <c r="I1487">
        <f t="shared" si="27"/>
        <v>6.8819680920246998E-2</v>
      </c>
      <c r="J1487">
        <f t="shared" si="28"/>
        <v>1.0924785661307417</v>
      </c>
    </row>
    <row r="1488" spans="1:10" x14ac:dyDescent="0.3">
      <c r="A1488" s="1">
        <v>44160</v>
      </c>
      <c r="B1488" s="2">
        <v>13.6</v>
      </c>
      <c r="C1488" s="2">
        <v>15.25</v>
      </c>
      <c r="D1488" s="2">
        <v>13.42</v>
      </c>
      <c r="E1488" s="2">
        <v>14.75</v>
      </c>
      <c r="F1488" s="3">
        <v>14.75</v>
      </c>
      <c r="G1488" s="4">
        <v>8860100</v>
      </c>
      <c r="H1488">
        <f t="shared" si="29"/>
        <v>7.6039432049970629E-2</v>
      </c>
      <c r="I1488">
        <f t="shared" si="27"/>
        <v>6.8868183152208523E-2</v>
      </c>
      <c r="J1488">
        <f t="shared" si="28"/>
        <v>1.0932485151935523</v>
      </c>
    </row>
    <row r="1489" spans="1:10" x14ac:dyDescent="0.3">
      <c r="A1489" s="1">
        <v>44162</v>
      </c>
      <c r="B1489" s="2">
        <v>15.29</v>
      </c>
      <c r="C1489" s="2">
        <v>16.739999999999998</v>
      </c>
      <c r="D1489" s="2">
        <v>14.88</v>
      </c>
      <c r="E1489" s="2">
        <v>16.079999999999998</v>
      </c>
      <c r="F1489" s="3">
        <v>16.079999999999998</v>
      </c>
      <c r="G1489" s="4">
        <v>12504200</v>
      </c>
      <c r="H1489">
        <f t="shared" si="29"/>
        <v>8.6333180964991402E-2</v>
      </c>
      <c r="I1489">
        <f t="shared" si="27"/>
        <v>6.9062932923716902E-2</v>
      </c>
      <c r="J1489">
        <f t="shared" si="28"/>
        <v>1.0963400719733394</v>
      </c>
    </row>
    <row r="1490" spans="1:10" x14ac:dyDescent="0.3">
      <c r="A1490" s="1">
        <v>44165</v>
      </c>
      <c r="B1490" s="2">
        <v>18.170000000000002</v>
      </c>
      <c r="C1490" s="2">
        <v>19.420000000000002</v>
      </c>
      <c r="D1490" s="2">
        <v>16.559999000000001</v>
      </c>
      <c r="E1490" s="2">
        <v>16.559999000000001</v>
      </c>
      <c r="F1490" s="3">
        <v>16.559999000000001</v>
      </c>
      <c r="G1490" s="4">
        <v>31983500</v>
      </c>
      <c r="H1490">
        <f t="shared" si="29"/>
        <v>2.9413824819818302E-2</v>
      </c>
      <c r="I1490">
        <f t="shared" ref="I1490:I1553" si="30">_xlfn.STDEV.S(H1238:H1490)</f>
        <v>6.9043790621917095E-2</v>
      </c>
      <c r="J1490">
        <f t="shared" ref="J1490:J1553" si="31">I1490*SQRT(252)</f>
        <v>1.0960361973528374</v>
      </c>
    </row>
    <row r="1491" spans="1:10" x14ac:dyDescent="0.3">
      <c r="A1491" s="1">
        <v>44166</v>
      </c>
      <c r="B1491" s="2">
        <v>17.110001</v>
      </c>
      <c r="C1491" s="2">
        <v>17.399999999999999</v>
      </c>
      <c r="D1491" s="2">
        <v>15.76</v>
      </c>
      <c r="E1491" s="2">
        <v>15.8</v>
      </c>
      <c r="F1491" s="3">
        <v>15.8</v>
      </c>
      <c r="G1491" s="4">
        <v>12666000</v>
      </c>
      <c r="H1491">
        <f t="shared" si="29"/>
        <v>-4.6980148537717252E-2</v>
      </c>
      <c r="I1491">
        <f t="shared" si="30"/>
        <v>6.9116760278895378E-2</v>
      </c>
      <c r="J1491">
        <f t="shared" si="31"/>
        <v>1.0971945547465469</v>
      </c>
    </row>
    <row r="1492" spans="1:10" x14ac:dyDescent="0.3">
      <c r="A1492" s="1">
        <v>44167</v>
      </c>
      <c r="B1492" s="2">
        <v>15.7</v>
      </c>
      <c r="C1492" s="2">
        <v>16.68</v>
      </c>
      <c r="D1492" s="2">
        <v>15.38</v>
      </c>
      <c r="E1492" s="2">
        <v>16.579999999999998</v>
      </c>
      <c r="F1492" s="3">
        <v>16.579999999999998</v>
      </c>
      <c r="G1492" s="4">
        <v>7883400</v>
      </c>
      <c r="H1492">
        <f t="shared" si="29"/>
        <v>4.8187209674227627E-2</v>
      </c>
      <c r="I1492">
        <f t="shared" si="30"/>
        <v>6.9145942558451509E-2</v>
      </c>
      <c r="J1492">
        <f t="shared" si="31"/>
        <v>1.0976578090729197</v>
      </c>
    </row>
    <row r="1493" spans="1:10" x14ac:dyDescent="0.3">
      <c r="A1493" s="1">
        <v>44168</v>
      </c>
      <c r="B1493" s="2">
        <v>16.48</v>
      </c>
      <c r="C1493" s="2">
        <v>16.639999</v>
      </c>
      <c r="D1493" s="2">
        <v>15.87</v>
      </c>
      <c r="E1493" s="2">
        <v>16.120000999999998</v>
      </c>
      <c r="F1493" s="3">
        <v>16.120000999999998</v>
      </c>
      <c r="G1493" s="4">
        <v>6295000</v>
      </c>
      <c r="H1493">
        <f t="shared" si="29"/>
        <v>-2.8136350593929133E-2</v>
      </c>
      <c r="I1493">
        <f t="shared" si="30"/>
        <v>6.9171193592001107E-2</v>
      </c>
      <c r="J1493">
        <f t="shared" si="31"/>
        <v>1.0980586568036372</v>
      </c>
    </row>
    <row r="1494" spans="1:10" x14ac:dyDescent="0.3">
      <c r="A1494" s="1">
        <v>44169</v>
      </c>
      <c r="B1494" s="2">
        <v>16.299999</v>
      </c>
      <c r="C1494" s="2">
        <v>17.290001</v>
      </c>
      <c r="D1494" s="2">
        <v>16.260000000000002</v>
      </c>
      <c r="E1494" s="2">
        <v>16.899999999999999</v>
      </c>
      <c r="F1494" s="3">
        <v>16.899999999999999</v>
      </c>
      <c r="G1494" s="4">
        <v>8972700</v>
      </c>
      <c r="H1494">
        <f t="shared" si="29"/>
        <v>4.7252822815808088E-2</v>
      </c>
      <c r="I1494">
        <f t="shared" si="30"/>
        <v>6.9165678980526599E-2</v>
      </c>
      <c r="J1494">
        <f t="shared" si="31"/>
        <v>1.097971115060405</v>
      </c>
    </row>
    <row r="1495" spans="1:10" x14ac:dyDescent="0.3">
      <c r="A1495" s="1">
        <v>44172</v>
      </c>
      <c r="B1495" s="2">
        <v>17</v>
      </c>
      <c r="C1495" s="2">
        <v>17.5</v>
      </c>
      <c r="D1495" s="2">
        <v>16.219999000000001</v>
      </c>
      <c r="E1495" s="2">
        <v>16.350000000000001</v>
      </c>
      <c r="F1495" s="3">
        <v>16.350000000000001</v>
      </c>
      <c r="G1495" s="4">
        <v>7386300</v>
      </c>
      <c r="H1495">
        <f t="shared" si="29"/>
        <v>-3.3085724585765218E-2</v>
      </c>
      <c r="I1495">
        <f t="shared" si="30"/>
        <v>6.9202577983459079E-2</v>
      </c>
      <c r="J1495">
        <f t="shared" si="31"/>
        <v>1.0985568685727187</v>
      </c>
    </row>
    <row r="1496" spans="1:10" x14ac:dyDescent="0.3">
      <c r="A1496" s="1">
        <v>44173</v>
      </c>
      <c r="B1496" s="2">
        <v>16.370000999999998</v>
      </c>
      <c r="C1496" s="2">
        <v>17.209999</v>
      </c>
      <c r="D1496" s="2">
        <v>15.93</v>
      </c>
      <c r="E1496" s="2">
        <v>16.940000999999999</v>
      </c>
      <c r="F1496" s="3">
        <v>16.940000999999999</v>
      </c>
      <c r="G1496" s="4">
        <v>16120200</v>
      </c>
      <c r="H1496">
        <f t="shared" si="29"/>
        <v>3.544985091252132E-2</v>
      </c>
      <c r="I1496">
        <f t="shared" si="30"/>
        <v>6.9187597643524779E-2</v>
      </c>
      <c r="J1496">
        <f t="shared" si="31"/>
        <v>1.0983190630485904</v>
      </c>
    </row>
    <row r="1497" spans="1:10" x14ac:dyDescent="0.3">
      <c r="A1497" s="1">
        <v>44174</v>
      </c>
      <c r="B1497" s="2">
        <v>13.92</v>
      </c>
      <c r="C1497" s="2">
        <v>14.73</v>
      </c>
      <c r="D1497" s="2">
        <v>13.23</v>
      </c>
      <c r="E1497" s="2">
        <v>13.66</v>
      </c>
      <c r="F1497" s="3">
        <v>13.66</v>
      </c>
      <c r="G1497" s="4">
        <v>24357900</v>
      </c>
      <c r="H1497">
        <f t="shared" si="29"/>
        <v>-0.21520589411313967</v>
      </c>
      <c r="I1497">
        <f t="shared" si="30"/>
        <v>7.0452230964217238E-2</v>
      </c>
      <c r="J1497">
        <f t="shared" si="31"/>
        <v>1.1183944946460187</v>
      </c>
    </row>
    <row r="1498" spans="1:10" x14ac:dyDescent="0.3">
      <c r="A1498" s="1">
        <v>44175</v>
      </c>
      <c r="B1498" s="2">
        <v>13.12</v>
      </c>
      <c r="C1498" s="2">
        <v>14.41</v>
      </c>
      <c r="D1498" s="2">
        <v>13.05</v>
      </c>
      <c r="E1498" s="2">
        <v>14.12</v>
      </c>
      <c r="F1498" s="3">
        <v>14.12</v>
      </c>
      <c r="G1498" s="4">
        <v>7558900</v>
      </c>
      <c r="H1498">
        <f t="shared" si="29"/>
        <v>3.3120377922451878E-2</v>
      </c>
      <c r="I1498">
        <f t="shared" si="30"/>
        <v>7.04601094413074E-2</v>
      </c>
      <c r="J1498">
        <f t="shared" si="31"/>
        <v>1.1185195615925616</v>
      </c>
    </row>
    <row r="1499" spans="1:10" x14ac:dyDescent="0.3">
      <c r="A1499" s="1">
        <v>44176</v>
      </c>
      <c r="B1499" s="2">
        <v>13.91</v>
      </c>
      <c r="C1499" s="2">
        <v>14</v>
      </c>
      <c r="D1499" s="2">
        <v>13.02</v>
      </c>
      <c r="E1499" s="2">
        <v>13.31</v>
      </c>
      <c r="F1499" s="3">
        <v>13.31</v>
      </c>
      <c r="G1499" s="4">
        <v>7496900</v>
      </c>
      <c r="H1499">
        <f t="shared" si="29"/>
        <v>-5.9076599658075678E-2</v>
      </c>
      <c r="I1499">
        <f t="shared" si="30"/>
        <v>6.9786459567052456E-2</v>
      </c>
      <c r="J1499">
        <f t="shared" si="31"/>
        <v>1.1078257013645105</v>
      </c>
    </row>
    <row r="1500" spans="1:10" x14ac:dyDescent="0.3">
      <c r="A1500" s="1">
        <v>44179</v>
      </c>
      <c r="B1500" s="2">
        <v>13.34</v>
      </c>
      <c r="C1500" s="2">
        <v>13.43</v>
      </c>
      <c r="D1500" s="2">
        <v>12.14</v>
      </c>
      <c r="E1500" s="2">
        <v>12.72</v>
      </c>
      <c r="F1500" s="3">
        <v>12.72</v>
      </c>
      <c r="G1500" s="4">
        <v>10007100</v>
      </c>
      <c r="H1500">
        <f t="shared" si="29"/>
        <v>-4.5340074495044118E-2</v>
      </c>
      <c r="I1500">
        <f t="shared" si="30"/>
        <v>6.9852967014942993E-2</v>
      </c>
      <c r="J1500">
        <f t="shared" si="31"/>
        <v>1.1088814743692221</v>
      </c>
    </row>
    <row r="1501" spans="1:10" x14ac:dyDescent="0.3">
      <c r="A1501" s="1">
        <v>44180</v>
      </c>
      <c r="B1501" s="2">
        <v>12.78</v>
      </c>
      <c r="C1501" s="2">
        <v>14.02</v>
      </c>
      <c r="D1501" s="2">
        <v>12.48</v>
      </c>
      <c r="E1501" s="2">
        <v>13.85</v>
      </c>
      <c r="F1501" s="3">
        <v>13.85</v>
      </c>
      <c r="G1501" s="4">
        <v>8192900</v>
      </c>
      <c r="H1501">
        <f t="shared" si="29"/>
        <v>8.5109674721371376E-2</v>
      </c>
      <c r="I1501">
        <f t="shared" si="30"/>
        <v>7.0021296886935466E-2</v>
      </c>
      <c r="J1501">
        <f t="shared" si="31"/>
        <v>1.1115536282463148</v>
      </c>
    </row>
    <row r="1502" spans="1:10" x14ac:dyDescent="0.3">
      <c r="A1502" s="1">
        <v>44181</v>
      </c>
      <c r="B1502" s="2">
        <v>13.96</v>
      </c>
      <c r="C1502" s="2">
        <v>14.31</v>
      </c>
      <c r="D1502" s="2">
        <v>13.58</v>
      </c>
      <c r="E1502" s="2">
        <v>13.85</v>
      </c>
      <c r="F1502" s="3">
        <v>13.85</v>
      </c>
      <c r="G1502" s="4">
        <v>5865100</v>
      </c>
      <c r="H1502">
        <f t="shared" si="29"/>
        <v>0</v>
      </c>
      <c r="I1502">
        <f t="shared" si="30"/>
        <v>7.0020832197352958E-2</v>
      </c>
      <c r="J1502">
        <f t="shared" si="31"/>
        <v>1.1115462515278818</v>
      </c>
    </row>
    <row r="1503" spans="1:10" x14ac:dyDescent="0.3">
      <c r="A1503" s="1">
        <v>44182</v>
      </c>
      <c r="B1503" s="2">
        <v>13.96</v>
      </c>
      <c r="C1503" s="2">
        <v>14.98</v>
      </c>
      <c r="D1503" s="2">
        <v>13.59</v>
      </c>
      <c r="E1503" s="2">
        <v>14.83</v>
      </c>
      <c r="F1503" s="3">
        <v>14.83</v>
      </c>
      <c r="G1503" s="4">
        <v>8194900</v>
      </c>
      <c r="H1503">
        <f t="shared" si="29"/>
        <v>6.836692351649333E-2</v>
      </c>
      <c r="I1503">
        <f t="shared" si="30"/>
        <v>6.9892578076574868E-2</v>
      </c>
      <c r="J1503">
        <f t="shared" si="31"/>
        <v>1.1095102804786934</v>
      </c>
    </row>
    <row r="1504" spans="1:10" x14ac:dyDescent="0.3">
      <c r="A1504" s="1">
        <v>44183</v>
      </c>
      <c r="B1504" s="2">
        <v>15.78</v>
      </c>
      <c r="C1504" s="2">
        <v>16.299999</v>
      </c>
      <c r="D1504" s="2">
        <v>15.18</v>
      </c>
      <c r="E1504" s="2">
        <v>15.63</v>
      </c>
      <c r="F1504" s="3">
        <v>15.63</v>
      </c>
      <c r="G1504" s="4">
        <v>16618800</v>
      </c>
      <c r="H1504">
        <f t="shared" si="29"/>
        <v>5.25399882835446E-2</v>
      </c>
      <c r="I1504">
        <f t="shared" si="30"/>
        <v>6.9955897441317499E-2</v>
      </c>
      <c r="J1504">
        <f t="shared" si="31"/>
        <v>1.110515444232395</v>
      </c>
    </row>
    <row r="1505" spans="1:10" x14ac:dyDescent="0.3">
      <c r="A1505" s="1">
        <v>44186</v>
      </c>
      <c r="B1505" s="2">
        <v>15.81</v>
      </c>
      <c r="C1505" s="2">
        <v>16.350000000000001</v>
      </c>
      <c r="D1505" s="2">
        <v>15.28</v>
      </c>
      <c r="E1505" s="2">
        <v>15.53</v>
      </c>
      <c r="F1505" s="3">
        <v>15.53</v>
      </c>
      <c r="G1505" s="4">
        <v>9876100</v>
      </c>
      <c r="H1505">
        <f t="shared" si="29"/>
        <v>-6.4185072727896073E-3</v>
      </c>
      <c r="I1505">
        <f t="shared" si="30"/>
        <v>6.9947379692157127E-2</v>
      </c>
      <c r="J1505">
        <f t="shared" si="31"/>
        <v>1.1103802291563447</v>
      </c>
    </row>
    <row r="1506" spans="1:10" x14ac:dyDescent="0.3">
      <c r="A1506" s="1">
        <v>44187</v>
      </c>
      <c r="B1506" s="2">
        <v>16.219999000000001</v>
      </c>
      <c r="C1506" s="2">
        <v>20.040001</v>
      </c>
      <c r="D1506" s="2">
        <v>16.149999999999999</v>
      </c>
      <c r="E1506" s="2">
        <v>19.459999</v>
      </c>
      <c r="F1506" s="3">
        <v>19.459999</v>
      </c>
      <c r="G1506" s="4">
        <v>30652700</v>
      </c>
      <c r="H1506">
        <f t="shared" si="29"/>
        <v>0.22558738820980062</v>
      </c>
      <c r="I1506">
        <f t="shared" si="30"/>
        <v>7.1317307608942351E-2</v>
      </c>
      <c r="J1506">
        <f t="shared" si="31"/>
        <v>1.1321271606477357</v>
      </c>
    </row>
    <row r="1507" spans="1:10" x14ac:dyDescent="0.3">
      <c r="A1507" s="1">
        <v>44188</v>
      </c>
      <c r="B1507" s="2">
        <v>20.170000000000002</v>
      </c>
      <c r="C1507" s="2">
        <v>22.35</v>
      </c>
      <c r="D1507" s="2">
        <v>19.129999000000002</v>
      </c>
      <c r="E1507" s="2">
        <v>20.57</v>
      </c>
      <c r="F1507" s="3">
        <v>20.57</v>
      </c>
      <c r="G1507" s="4">
        <v>25830300</v>
      </c>
      <c r="H1507">
        <f t="shared" si="29"/>
        <v>5.5472678294469523E-2</v>
      </c>
      <c r="I1507">
        <f t="shared" si="30"/>
        <v>7.1250410640177106E-2</v>
      </c>
      <c r="J1507">
        <f t="shared" si="31"/>
        <v>1.1310652041908342</v>
      </c>
    </row>
    <row r="1508" spans="1:10" x14ac:dyDescent="0.3">
      <c r="A1508" s="1">
        <v>44189</v>
      </c>
      <c r="B1508" s="2">
        <v>21.01</v>
      </c>
      <c r="C1508" s="2">
        <v>21.48</v>
      </c>
      <c r="D1508" s="2">
        <v>19.950001</v>
      </c>
      <c r="E1508" s="2">
        <v>20.149999999999999</v>
      </c>
      <c r="F1508" s="3">
        <v>20.149999999999999</v>
      </c>
      <c r="G1508" s="4">
        <v>6262200</v>
      </c>
      <c r="H1508">
        <f t="shared" si="29"/>
        <v>-2.0629415272173917E-2</v>
      </c>
      <c r="I1508">
        <f t="shared" si="30"/>
        <v>7.1232978926138266E-2</v>
      </c>
      <c r="J1508">
        <f t="shared" si="31"/>
        <v>1.1307884843092</v>
      </c>
    </row>
    <row r="1509" spans="1:10" x14ac:dyDescent="0.3">
      <c r="A1509" s="1">
        <v>44193</v>
      </c>
      <c r="B1509" s="2">
        <v>21.309999000000001</v>
      </c>
      <c r="C1509" s="2">
        <v>21.969999000000001</v>
      </c>
      <c r="D1509" s="2">
        <v>20.350000000000001</v>
      </c>
      <c r="E1509" s="2">
        <v>20.99</v>
      </c>
      <c r="F1509" s="3">
        <v>20.99</v>
      </c>
      <c r="G1509" s="4">
        <v>8965900</v>
      </c>
      <c r="H1509">
        <f t="shared" si="29"/>
        <v>4.0841845439849665E-2</v>
      </c>
      <c r="I1509">
        <f t="shared" si="30"/>
        <v>7.1263757819340079E-2</v>
      </c>
      <c r="J1509">
        <f t="shared" si="31"/>
        <v>1.131277084091451</v>
      </c>
    </row>
    <row r="1510" spans="1:10" x14ac:dyDescent="0.3">
      <c r="A1510" s="1">
        <v>44194</v>
      </c>
      <c r="B1510" s="2">
        <v>20.82</v>
      </c>
      <c r="C1510" s="2">
        <v>21.07</v>
      </c>
      <c r="D1510" s="2">
        <v>18.559999000000001</v>
      </c>
      <c r="E1510" s="2">
        <v>19.379999000000002</v>
      </c>
      <c r="F1510" s="3">
        <v>19.379999000000002</v>
      </c>
      <c r="G1510" s="4">
        <v>9241400</v>
      </c>
      <c r="H1510">
        <f t="shared" si="29"/>
        <v>-7.9804578969509848E-2</v>
      </c>
      <c r="I1510">
        <f t="shared" si="30"/>
        <v>7.1269936159794614E-2</v>
      </c>
      <c r="J1510">
        <f t="shared" si="31"/>
        <v>1.1313751622055976</v>
      </c>
    </row>
    <row r="1511" spans="1:10" x14ac:dyDescent="0.3">
      <c r="A1511" s="1">
        <v>44195</v>
      </c>
      <c r="B1511" s="2">
        <v>19.379999000000002</v>
      </c>
      <c r="C1511" s="2">
        <v>20</v>
      </c>
      <c r="D1511" s="2">
        <v>18.850000000000001</v>
      </c>
      <c r="E1511" s="2">
        <v>19.260000000000002</v>
      </c>
      <c r="F1511" s="3">
        <v>19.260000000000002</v>
      </c>
      <c r="G1511" s="4">
        <v>5934400</v>
      </c>
      <c r="H1511">
        <f t="shared" si="29"/>
        <v>-6.2111484930521309E-3</v>
      </c>
      <c r="I1511">
        <f t="shared" si="30"/>
        <v>7.1241707231963589E-2</v>
      </c>
      <c r="J1511">
        <f t="shared" si="31"/>
        <v>1.1309270418686843</v>
      </c>
    </row>
    <row r="1512" spans="1:10" x14ac:dyDescent="0.3">
      <c r="A1512" s="1">
        <v>44196</v>
      </c>
      <c r="B1512" s="2">
        <v>19.25</v>
      </c>
      <c r="C1512" s="2">
        <v>19.799999</v>
      </c>
      <c r="D1512" s="2">
        <v>18.799999</v>
      </c>
      <c r="E1512" s="2">
        <v>18.84</v>
      </c>
      <c r="F1512" s="3">
        <v>18.84</v>
      </c>
      <c r="G1512" s="4">
        <v>6922700</v>
      </c>
      <c r="H1512">
        <f t="shared" si="29"/>
        <v>-2.2048137221762614E-2</v>
      </c>
      <c r="I1512">
        <f t="shared" si="30"/>
        <v>7.1256848045862534E-2</v>
      </c>
      <c r="J1512">
        <f t="shared" si="31"/>
        <v>1.1311673948380268</v>
      </c>
    </row>
    <row r="1513" spans="1:10" x14ac:dyDescent="0.3">
      <c r="A1513" s="1">
        <v>44200</v>
      </c>
      <c r="B1513" s="2">
        <v>19</v>
      </c>
      <c r="C1513" s="2">
        <v>19.100000000000001</v>
      </c>
      <c r="D1513" s="2">
        <v>17.149999999999999</v>
      </c>
      <c r="E1513" s="2">
        <v>17.25</v>
      </c>
      <c r="F1513" s="3">
        <v>17.25</v>
      </c>
      <c r="G1513" s="4">
        <v>10022500</v>
      </c>
      <c r="H1513">
        <f t="shared" si="29"/>
        <v>-8.8170125670848282E-2</v>
      </c>
      <c r="I1513">
        <f t="shared" si="30"/>
        <v>7.1464086288541256E-2</v>
      </c>
      <c r="J1513">
        <f t="shared" si="31"/>
        <v>1.1344571999516464</v>
      </c>
    </row>
    <row r="1514" spans="1:10" x14ac:dyDescent="0.3">
      <c r="A1514" s="1">
        <v>44201</v>
      </c>
      <c r="B1514" s="2">
        <v>17.350000000000001</v>
      </c>
      <c r="C1514" s="2">
        <v>18.079999999999998</v>
      </c>
      <c r="D1514" s="2">
        <v>17.23</v>
      </c>
      <c r="E1514" s="2">
        <v>17.370000999999998</v>
      </c>
      <c r="F1514" s="3">
        <v>17.370000999999998</v>
      </c>
      <c r="G1514" s="4">
        <v>4961500</v>
      </c>
      <c r="H1514">
        <f t="shared" si="29"/>
        <v>6.9324943461668504E-3</v>
      </c>
      <c r="I1514">
        <f t="shared" si="30"/>
        <v>7.1309181800958271E-2</v>
      </c>
      <c r="J1514">
        <f t="shared" si="31"/>
        <v>1.1319981674449715</v>
      </c>
    </row>
    <row r="1515" spans="1:10" x14ac:dyDescent="0.3">
      <c r="A1515" s="1">
        <v>44202</v>
      </c>
      <c r="B1515" s="2">
        <v>17.34</v>
      </c>
      <c r="C1515" s="2">
        <v>18.98</v>
      </c>
      <c r="D1515" s="2">
        <v>17.329999999999998</v>
      </c>
      <c r="E1515" s="2">
        <v>18.360001</v>
      </c>
      <c r="F1515" s="3">
        <v>18.360001</v>
      </c>
      <c r="G1515" s="4">
        <v>6056200</v>
      </c>
      <c r="H1515">
        <f t="shared" si="29"/>
        <v>5.5429801835038123E-2</v>
      </c>
      <c r="I1515">
        <f t="shared" si="30"/>
        <v>7.137908051429534E-2</v>
      </c>
      <c r="J1515">
        <f t="shared" si="31"/>
        <v>1.1331077751196912</v>
      </c>
    </row>
    <row r="1516" spans="1:10" x14ac:dyDescent="0.3">
      <c r="A1516" s="1">
        <v>44203</v>
      </c>
      <c r="B1516" s="2">
        <v>18.469999000000001</v>
      </c>
      <c r="C1516" s="2">
        <v>19.450001</v>
      </c>
      <c r="D1516" s="2">
        <v>18.02</v>
      </c>
      <c r="E1516" s="2">
        <v>18.079999999999998</v>
      </c>
      <c r="F1516" s="3">
        <v>18.079999999999998</v>
      </c>
      <c r="G1516" s="4">
        <v>6129300</v>
      </c>
      <c r="H1516">
        <f t="shared" si="29"/>
        <v>-1.5368084694543491E-2</v>
      </c>
      <c r="I1516">
        <f t="shared" si="30"/>
        <v>7.1280932306953759E-2</v>
      </c>
      <c r="J1516">
        <f t="shared" si="31"/>
        <v>1.1315497206301754</v>
      </c>
    </row>
    <row r="1517" spans="1:10" x14ac:dyDescent="0.3">
      <c r="A1517" s="1">
        <v>44204</v>
      </c>
      <c r="B1517" s="2">
        <v>18.18</v>
      </c>
      <c r="C1517" s="2">
        <v>18.299999</v>
      </c>
      <c r="D1517" s="2">
        <v>17.079999999999998</v>
      </c>
      <c r="E1517" s="2">
        <v>17.690000999999999</v>
      </c>
      <c r="F1517" s="3">
        <v>17.690000999999999</v>
      </c>
      <c r="G1517" s="4">
        <v>6482000</v>
      </c>
      <c r="H1517">
        <f t="shared" si="29"/>
        <v>-2.1806790263225597E-2</v>
      </c>
      <c r="I1517">
        <f t="shared" si="30"/>
        <v>7.1273531224219949E-2</v>
      </c>
      <c r="J1517">
        <f t="shared" si="31"/>
        <v>1.1314322320840979</v>
      </c>
    </row>
    <row r="1518" spans="1:10" x14ac:dyDescent="0.3">
      <c r="A1518" s="1">
        <v>44207</v>
      </c>
      <c r="B1518" s="2">
        <v>19.41</v>
      </c>
      <c r="C1518" s="2">
        <v>20.65</v>
      </c>
      <c r="D1518" s="2">
        <v>19.010000000000002</v>
      </c>
      <c r="E1518" s="2">
        <v>19.940000999999999</v>
      </c>
      <c r="F1518" s="3">
        <v>19.940000999999999</v>
      </c>
      <c r="G1518" s="4">
        <v>14927600</v>
      </c>
      <c r="H1518">
        <f t="shared" si="29"/>
        <v>0.11972824998333767</v>
      </c>
      <c r="I1518">
        <f t="shared" si="30"/>
        <v>7.1606751898546414E-2</v>
      </c>
      <c r="J1518">
        <f t="shared" si="31"/>
        <v>1.1367219462999363</v>
      </c>
    </row>
    <row r="1519" spans="1:10" x14ac:dyDescent="0.3">
      <c r="A1519" s="1">
        <v>44208</v>
      </c>
      <c r="B1519" s="2">
        <v>19.959999</v>
      </c>
      <c r="C1519" s="2">
        <v>20.399999999999999</v>
      </c>
      <c r="D1519" s="2">
        <v>19.32</v>
      </c>
      <c r="E1519" s="2">
        <v>19.950001</v>
      </c>
      <c r="F1519" s="3">
        <v>19.950001</v>
      </c>
      <c r="G1519" s="4">
        <v>7060700</v>
      </c>
      <c r="H1519">
        <f t="shared" si="29"/>
        <v>5.0137877704221293E-4</v>
      </c>
      <c r="I1519">
        <f t="shared" si="30"/>
        <v>7.1587198120139903E-2</v>
      </c>
      <c r="J1519">
        <f t="shared" si="31"/>
        <v>1.1364115396908046</v>
      </c>
    </row>
    <row r="1520" spans="1:10" x14ac:dyDescent="0.3">
      <c r="A1520" s="1">
        <v>44209</v>
      </c>
      <c r="B1520" s="2">
        <v>20.420000000000002</v>
      </c>
      <c r="C1520" s="2">
        <v>38.650002000000001</v>
      </c>
      <c r="D1520" s="2">
        <v>20.030000999999999</v>
      </c>
      <c r="E1520" s="2">
        <v>31.4</v>
      </c>
      <c r="F1520" s="3">
        <v>31.4</v>
      </c>
      <c r="G1520" s="4">
        <v>144501700</v>
      </c>
      <c r="H1520">
        <f t="shared" si="29"/>
        <v>0.45357869945302309</v>
      </c>
      <c r="I1520">
        <f t="shared" si="30"/>
        <v>7.6937558143901449E-2</v>
      </c>
      <c r="J1520">
        <f t="shared" si="31"/>
        <v>1.2213458719760126</v>
      </c>
    </row>
    <row r="1521" spans="1:10" x14ac:dyDescent="0.3">
      <c r="A1521" s="1">
        <v>44210</v>
      </c>
      <c r="B1521" s="2">
        <v>38.090000000000003</v>
      </c>
      <c r="C1521" s="2">
        <v>43.060001</v>
      </c>
      <c r="D1521" s="2">
        <v>33.049999</v>
      </c>
      <c r="E1521" s="2">
        <v>39.909999999999997</v>
      </c>
      <c r="F1521" s="3">
        <v>39.909999999999997</v>
      </c>
      <c r="G1521" s="4">
        <v>93717400</v>
      </c>
      <c r="H1521">
        <f t="shared" si="29"/>
        <v>0.23981902614643474</v>
      </c>
      <c r="I1521">
        <f t="shared" si="30"/>
        <v>7.7743122089085959E-2</v>
      </c>
      <c r="J1521">
        <f t="shared" si="31"/>
        <v>1.2341338031607223</v>
      </c>
    </row>
    <row r="1522" spans="1:10" x14ac:dyDescent="0.3">
      <c r="A1522" s="1">
        <v>44211</v>
      </c>
      <c r="B1522" s="2">
        <v>38.490001999999997</v>
      </c>
      <c r="C1522" s="2">
        <v>40.75</v>
      </c>
      <c r="D1522" s="2">
        <v>34.009998000000003</v>
      </c>
      <c r="E1522" s="2">
        <v>35.5</v>
      </c>
      <c r="F1522" s="3">
        <v>35.5</v>
      </c>
      <c r="G1522" s="4">
        <v>46866400</v>
      </c>
      <c r="H1522">
        <f t="shared" si="29"/>
        <v>-0.11709422257927232</v>
      </c>
      <c r="I1522">
        <f t="shared" si="30"/>
        <v>7.8120687723130383E-2</v>
      </c>
      <c r="J1522">
        <f t="shared" si="31"/>
        <v>1.2401274717884381</v>
      </c>
    </row>
    <row r="1523" spans="1:10" x14ac:dyDescent="0.3">
      <c r="A1523" s="1">
        <v>44215</v>
      </c>
      <c r="B1523" s="2">
        <v>41.549999</v>
      </c>
      <c r="C1523" s="2">
        <v>45.52</v>
      </c>
      <c r="D1523" s="2">
        <v>36.639999000000003</v>
      </c>
      <c r="E1523" s="2">
        <v>39.360000999999997</v>
      </c>
      <c r="F1523" s="3">
        <v>39.360000999999997</v>
      </c>
      <c r="G1523" s="4">
        <v>74721900</v>
      </c>
      <c r="H1523">
        <f t="shared" si="29"/>
        <v>0.10321740110918615</v>
      </c>
      <c r="I1523">
        <f t="shared" si="30"/>
        <v>7.8348384828996379E-2</v>
      </c>
      <c r="J1523">
        <f t="shared" si="31"/>
        <v>1.2437420512866615</v>
      </c>
    </row>
    <row r="1524" spans="1:10" x14ac:dyDescent="0.3">
      <c r="A1524" s="1">
        <v>44216</v>
      </c>
      <c r="B1524" s="2">
        <v>37.369999</v>
      </c>
      <c r="C1524" s="2">
        <v>41.189999</v>
      </c>
      <c r="D1524" s="2">
        <v>36.060001</v>
      </c>
      <c r="E1524" s="2">
        <v>39.119999</v>
      </c>
      <c r="F1524" s="3">
        <v>39.119999</v>
      </c>
      <c r="G1524" s="4">
        <v>33471800</v>
      </c>
      <c r="H1524">
        <f t="shared" si="29"/>
        <v>-6.1162779863122721E-3</v>
      </c>
      <c r="I1524">
        <f t="shared" si="30"/>
        <v>7.8344240700762735E-2</v>
      </c>
      <c r="J1524">
        <f t="shared" si="31"/>
        <v>1.2436762652904172</v>
      </c>
    </row>
    <row r="1525" spans="1:10" x14ac:dyDescent="0.3">
      <c r="A1525" s="1">
        <v>44217</v>
      </c>
      <c r="B1525" s="2">
        <v>39.229999999999997</v>
      </c>
      <c r="C1525" s="2">
        <v>44.75</v>
      </c>
      <c r="D1525" s="2">
        <v>37</v>
      </c>
      <c r="E1525" s="2">
        <v>43.029998999999997</v>
      </c>
      <c r="F1525" s="3">
        <v>43.029998999999997</v>
      </c>
      <c r="G1525" s="4">
        <v>57079800</v>
      </c>
      <c r="H1525">
        <f t="shared" si="29"/>
        <v>9.526370400666348E-2</v>
      </c>
      <c r="I1525">
        <f t="shared" si="30"/>
        <v>7.8487853792807788E-2</v>
      </c>
      <c r="J1525">
        <f t="shared" si="31"/>
        <v>1.2459560524498028</v>
      </c>
    </row>
    <row r="1526" spans="1:10" x14ac:dyDescent="0.3">
      <c r="A1526" s="1">
        <v>44218</v>
      </c>
      <c r="B1526" s="2">
        <v>42.59</v>
      </c>
      <c r="C1526" s="2">
        <v>76.760002</v>
      </c>
      <c r="D1526" s="2">
        <v>42.32</v>
      </c>
      <c r="E1526" s="2">
        <v>65.010002</v>
      </c>
      <c r="F1526" s="3">
        <v>65.010002</v>
      </c>
      <c r="G1526" s="4">
        <v>197157900</v>
      </c>
      <c r="H1526">
        <f t="shared" si="29"/>
        <v>0.41264361136996702</v>
      </c>
      <c r="I1526">
        <f t="shared" si="30"/>
        <v>8.2484419303467518E-2</v>
      </c>
      <c r="J1526">
        <f t="shared" si="31"/>
        <v>1.3093995630873037</v>
      </c>
    </row>
    <row r="1527" spans="1:10" x14ac:dyDescent="0.3">
      <c r="A1527" s="1">
        <v>44221</v>
      </c>
      <c r="B1527" s="2">
        <v>96.730002999999996</v>
      </c>
      <c r="C1527" s="2">
        <v>159.179993</v>
      </c>
      <c r="D1527" s="2">
        <v>61.130001</v>
      </c>
      <c r="E1527" s="2">
        <v>76.790001000000004</v>
      </c>
      <c r="F1527" s="3">
        <v>76.790001000000004</v>
      </c>
      <c r="G1527" s="4">
        <v>177874000</v>
      </c>
      <c r="H1527">
        <f t="shared" si="29"/>
        <v>0.16653330138410641</v>
      </c>
      <c r="I1527">
        <f t="shared" si="30"/>
        <v>8.3065594546356494E-2</v>
      </c>
      <c r="J1527">
        <f t="shared" si="31"/>
        <v>1.3186254340522945</v>
      </c>
    </row>
    <row r="1528" spans="1:10" x14ac:dyDescent="0.3">
      <c r="A1528" s="1">
        <v>44222</v>
      </c>
      <c r="B1528" s="2">
        <v>88.559997999999993</v>
      </c>
      <c r="C1528" s="2">
        <v>150</v>
      </c>
      <c r="D1528" s="2">
        <v>80.199996999999996</v>
      </c>
      <c r="E1528" s="2">
        <v>147.979996</v>
      </c>
      <c r="F1528" s="3">
        <v>147.979996</v>
      </c>
      <c r="G1528" s="4">
        <v>178588000</v>
      </c>
      <c r="H1528">
        <f t="shared" si="29"/>
        <v>0.65600266610174351</v>
      </c>
      <c r="I1528">
        <f t="shared" si="30"/>
        <v>9.2291604755927154E-2</v>
      </c>
      <c r="J1528">
        <f t="shared" si="31"/>
        <v>1.4650838056994957</v>
      </c>
    </row>
    <row r="1529" spans="1:10" x14ac:dyDescent="0.3">
      <c r="A1529" s="1">
        <v>44223</v>
      </c>
      <c r="B1529" s="2">
        <v>354.82998700000002</v>
      </c>
      <c r="C1529" s="2">
        <v>380</v>
      </c>
      <c r="D1529" s="2">
        <v>249</v>
      </c>
      <c r="E1529" s="2">
        <v>347.51001000000002</v>
      </c>
      <c r="F1529" s="3">
        <v>347.51001000000002</v>
      </c>
      <c r="G1529" s="4">
        <v>93396700</v>
      </c>
      <c r="H1529">
        <f t="shared" si="29"/>
        <v>0.85371636787864003</v>
      </c>
      <c r="I1529">
        <f t="shared" si="30"/>
        <v>0.10631196699798383</v>
      </c>
      <c r="J1529">
        <f t="shared" si="31"/>
        <v>1.6876501564006272</v>
      </c>
    </row>
    <row r="1530" spans="1:10" x14ac:dyDescent="0.3">
      <c r="A1530" s="1">
        <v>44224</v>
      </c>
      <c r="B1530" s="2">
        <v>265</v>
      </c>
      <c r="C1530" s="2">
        <v>483</v>
      </c>
      <c r="D1530" s="2">
        <v>112.25</v>
      </c>
      <c r="E1530" s="2">
        <v>193.60000600000001</v>
      </c>
      <c r="F1530" s="3">
        <v>193.60000600000001</v>
      </c>
      <c r="G1530" s="4">
        <v>58815800</v>
      </c>
      <c r="H1530">
        <f t="shared" si="29"/>
        <v>-0.58499926451115314</v>
      </c>
      <c r="I1530">
        <f t="shared" si="30"/>
        <v>0.11283851717346646</v>
      </c>
      <c r="J1530">
        <f t="shared" si="31"/>
        <v>1.7912559285016993</v>
      </c>
    </row>
    <row r="1531" spans="1:10" x14ac:dyDescent="0.3">
      <c r="A1531" s="1">
        <v>44225</v>
      </c>
      <c r="B1531" s="2">
        <v>379.709991</v>
      </c>
      <c r="C1531" s="2">
        <v>413.98001099999999</v>
      </c>
      <c r="D1531" s="2">
        <v>250</v>
      </c>
      <c r="E1531" s="2">
        <v>325</v>
      </c>
      <c r="F1531" s="3">
        <v>325</v>
      </c>
      <c r="G1531" s="4">
        <v>50259200</v>
      </c>
      <c r="H1531">
        <f t="shared" si="29"/>
        <v>0.51803097649552576</v>
      </c>
      <c r="I1531">
        <f t="shared" si="30"/>
        <v>0.11716199384695737</v>
      </c>
      <c r="J1531">
        <f t="shared" si="31"/>
        <v>1.8598889929651738</v>
      </c>
    </row>
    <row r="1532" spans="1:10" x14ac:dyDescent="0.3">
      <c r="A1532" s="1">
        <v>44228</v>
      </c>
      <c r="B1532" s="2">
        <v>316.55999800000001</v>
      </c>
      <c r="C1532" s="2">
        <v>322</v>
      </c>
      <c r="D1532" s="2">
        <v>212</v>
      </c>
      <c r="E1532" s="2">
        <v>225</v>
      </c>
      <c r="F1532" s="3">
        <v>225</v>
      </c>
      <c r="G1532" s="4">
        <v>37382200</v>
      </c>
      <c r="H1532">
        <f t="shared" si="29"/>
        <v>-0.3677247801253174</v>
      </c>
      <c r="I1532">
        <f t="shared" si="30"/>
        <v>0.11956471965505593</v>
      </c>
      <c r="J1532">
        <f t="shared" si="31"/>
        <v>1.8980310827066067</v>
      </c>
    </row>
    <row r="1533" spans="1:10" x14ac:dyDescent="0.3">
      <c r="A1533" s="1">
        <v>44229</v>
      </c>
      <c r="B1533" s="2">
        <v>140.759995</v>
      </c>
      <c r="C1533" s="2">
        <v>158</v>
      </c>
      <c r="D1533" s="2">
        <v>74.220000999999996</v>
      </c>
      <c r="E1533" s="2">
        <v>90</v>
      </c>
      <c r="F1533" s="3">
        <v>90</v>
      </c>
      <c r="G1533" s="4">
        <v>78183100</v>
      </c>
      <c r="H1533">
        <f t="shared" si="29"/>
        <v>-0.916290731874155</v>
      </c>
      <c r="I1533">
        <f t="shared" si="30"/>
        <v>0.13313970002366224</v>
      </c>
      <c r="J1533">
        <f t="shared" si="31"/>
        <v>2.1135272153541043</v>
      </c>
    </row>
    <row r="1534" spans="1:10" x14ac:dyDescent="0.3">
      <c r="A1534" s="1">
        <v>44230</v>
      </c>
      <c r="B1534" s="2">
        <v>112.010002</v>
      </c>
      <c r="C1534" s="2">
        <v>113.400002</v>
      </c>
      <c r="D1534" s="2">
        <v>85.25</v>
      </c>
      <c r="E1534" s="2">
        <v>92.410004000000001</v>
      </c>
      <c r="F1534" s="3">
        <v>92.410004000000001</v>
      </c>
      <c r="G1534" s="4">
        <v>42698500</v>
      </c>
      <c r="H1534">
        <f t="shared" si="29"/>
        <v>2.64255708550417E-2</v>
      </c>
      <c r="I1534">
        <f t="shared" si="30"/>
        <v>0.13313889442337487</v>
      </c>
      <c r="J1534">
        <f t="shared" si="31"/>
        <v>2.1135144268460051</v>
      </c>
    </row>
    <row r="1535" spans="1:10" x14ac:dyDescent="0.3">
      <c r="A1535" s="1">
        <v>44231</v>
      </c>
      <c r="B1535" s="2">
        <v>91.190002000000007</v>
      </c>
      <c r="C1535" s="2">
        <v>91.5</v>
      </c>
      <c r="D1535" s="2">
        <v>53.330002</v>
      </c>
      <c r="E1535" s="2">
        <v>53.5</v>
      </c>
      <c r="F1535" s="3">
        <v>53.5</v>
      </c>
      <c r="G1535" s="4">
        <v>62427300</v>
      </c>
      <c r="H1535">
        <f t="shared" si="29"/>
        <v>-0.54655358728334591</v>
      </c>
      <c r="I1535">
        <f t="shared" si="30"/>
        <v>0.13769389489514738</v>
      </c>
      <c r="J1535">
        <f t="shared" si="31"/>
        <v>2.1858228176665571</v>
      </c>
    </row>
    <row r="1536" spans="1:10" x14ac:dyDescent="0.3">
      <c r="A1536" s="1">
        <v>44232</v>
      </c>
      <c r="B1536" s="2">
        <v>54.040000999999997</v>
      </c>
      <c r="C1536" s="2">
        <v>95</v>
      </c>
      <c r="D1536" s="2">
        <v>51.09</v>
      </c>
      <c r="E1536" s="2">
        <v>63.77</v>
      </c>
      <c r="F1536" s="3">
        <v>63.77</v>
      </c>
      <c r="G1536" s="4">
        <v>80886300</v>
      </c>
      <c r="H1536">
        <f t="shared" si="29"/>
        <v>0.17560120642521945</v>
      </c>
      <c r="I1536">
        <f t="shared" si="30"/>
        <v>0.13808246679543057</v>
      </c>
      <c r="J1536">
        <f t="shared" si="31"/>
        <v>2.1919912053542596</v>
      </c>
    </row>
    <row r="1537" spans="1:12" x14ac:dyDescent="0.3">
      <c r="A1537" s="1">
        <v>44235</v>
      </c>
      <c r="B1537" s="2">
        <v>72.410004000000001</v>
      </c>
      <c r="C1537" s="2">
        <v>72.660004000000001</v>
      </c>
      <c r="D1537" s="2">
        <v>58.02</v>
      </c>
      <c r="E1537" s="2">
        <v>60</v>
      </c>
      <c r="F1537" s="3">
        <v>60</v>
      </c>
      <c r="G1537" s="4">
        <v>25687300</v>
      </c>
      <c r="H1537">
        <f t="shared" si="29"/>
        <v>-6.0938298105079655E-2</v>
      </c>
      <c r="I1537">
        <f t="shared" si="30"/>
        <v>0.13815021746832112</v>
      </c>
      <c r="J1537">
        <f t="shared" si="31"/>
        <v>2.1930667139440136</v>
      </c>
    </row>
    <row r="1538" spans="1:12" x14ac:dyDescent="0.3">
      <c r="A1538" s="1">
        <v>44236</v>
      </c>
      <c r="B1538" s="2">
        <v>56.610000999999997</v>
      </c>
      <c r="C1538" s="2">
        <v>57</v>
      </c>
      <c r="D1538" s="2">
        <v>46.52</v>
      </c>
      <c r="E1538" s="2">
        <v>50.310001</v>
      </c>
      <c r="F1538" s="3">
        <v>50.310001</v>
      </c>
      <c r="G1538" s="4">
        <v>26843100</v>
      </c>
      <c r="H1538">
        <f t="shared" si="29"/>
        <v>-0.17614067784210968</v>
      </c>
      <c r="I1538">
        <f t="shared" si="30"/>
        <v>0.13852396536727304</v>
      </c>
      <c r="J1538">
        <f t="shared" si="31"/>
        <v>2.1989997779059718</v>
      </c>
    </row>
    <row r="1539" spans="1:12" x14ac:dyDescent="0.3">
      <c r="A1539" s="1">
        <v>44237</v>
      </c>
      <c r="B1539" s="2">
        <v>50.77</v>
      </c>
      <c r="C1539" s="2">
        <v>62.830002</v>
      </c>
      <c r="D1539" s="2">
        <v>46.549999</v>
      </c>
      <c r="E1539" s="2">
        <v>51.200001</v>
      </c>
      <c r="F1539" s="3">
        <v>51.200001</v>
      </c>
      <c r="G1539" s="4">
        <v>36455000</v>
      </c>
      <c r="H1539">
        <f t="shared" si="29"/>
        <v>1.7535667196720804E-2</v>
      </c>
      <c r="I1539">
        <f t="shared" si="30"/>
        <v>0.13851691095007729</v>
      </c>
      <c r="J1539">
        <f t="shared" si="31"/>
        <v>2.198887792504705</v>
      </c>
    </row>
    <row r="1540" spans="1:12" x14ac:dyDescent="0.3">
      <c r="A1540" s="1">
        <v>44238</v>
      </c>
      <c r="B1540" s="2">
        <v>50.009998000000003</v>
      </c>
      <c r="C1540" s="2">
        <v>55.32</v>
      </c>
      <c r="D1540" s="2">
        <v>48.220001000000003</v>
      </c>
      <c r="E1540" s="2">
        <v>51.099997999999999</v>
      </c>
      <c r="F1540" s="3">
        <v>51.099997999999999</v>
      </c>
      <c r="G1540" s="4">
        <v>12997400</v>
      </c>
      <c r="H1540">
        <f t="shared" ref="H1540:H1579" si="32">LN(E1540/E1539)</f>
        <v>-1.9550935059972135E-3</v>
      </c>
      <c r="I1540">
        <f t="shared" si="30"/>
        <v>0.13851755543464989</v>
      </c>
      <c r="J1540">
        <f t="shared" si="31"/>
        <v>2.1988980233801225</v>
      </c>
    </row>
    <row r="1541" spans="1:12" x14ac:dyDescent="0.3">
      <c r="A1541" s="1">
        <v>44239</v>
      </c>
      <c r="B1541" s="2">
        <v>50.75</v>
      </c>
      <c r="C1541" s="2">
        <v>55.240001999999997</v>
      </c>
      <c r="D1541" s="2">
        <v>48.049999</v>
      </c>
      <c r="E1541" s="2">
        <v>52.400002000000001</v>
      </c>
      <c r="F1541" s="3">
        <v>52.400002000000001</v>
      </c>
      <c r="G1541" s="4">
        <v>14498000</v>
      </c>
      <c r="H1541">
        <f t="shared" si="32"/>
        <v>2.5122171424219894E-2</v>
      </c>
      <c r="I1541">
        <f t="shared" si="30"/>
        <v>0.13850669881336602</v>
      </c>
      <c r="J1541">
        <f t="shared" si="31"/>
        <v>2.1987256798601491</v>
      </c>
    </row>
    <row r="1542" spans="1:12" x14ac:dyDescent="0.3">
      <c r="A1542" s="1">
        <v>44243</v>
      </c>
      <c r="B1542" s="2">
        <v>52.66</v>
      </c>
      <c r="C1542" s="2">
        <v>53.5</v>
      </c>
      <c r="D1542" s="2">
        <v>49.040000999999997</v>
      </c>
      <c r="E1542" s="2">
        <v>49.509998000000003</v>
      </c>
      <c r="F1542" s="3">
        <v>49.509998000000003</v>
      </c>
      <c r="G1542" s="4">
        <v>8175000</v>
      </c>
      <c r="H1542">
        <f t="shared" si="32"/>
        <v>-5.6732000517483429E-2</v>
      </c>
      <c r="I1542">
        <f t="shared" si="30"/>
        <v>0.13855810658650614</v>
      </c>
      <c r="J1542">
        <f t="shared" si="31"/>
        <v>2.1995417529592554</v>
      </c>
    </row>
    <row r="1543" spans="1:12" x14ac:dyDescent="0.3">
      <c r="A1543" s="1">
        <v>44244</v>
      </c>
      <c r="B1543" s="2">
        <v>49.77</v>
      </c>
      <c r="C1543" s="2">
        <v>51.189999</v>
      </c>
      <c r="D1543" s="2">
        <v>44.560001</v>
      </c>
      <c r="E1543" s="2">
        <v>45.939999</v>
      </c>
      <c r="F1543" s="3">
        <v>45.939999</v>
      </c>
      <c r="G1543" s="4">
        <v>9186800</v>
      </c>
      <c r="H1543">
        <f t="shared" si="32"/>
        <v>-7.4838453484022224E-2</v>
      </c>
      <c r="I1543">
        <f t="shared" si="30"/>
        <v>0.13864595018478837</v>
      </c>
      <c r="J1543">
        <f t="shared" si="31"/>
        <v>2.2009362268511987</v>
      </c>
    </row>
    <row r="1544" spans="1:12" x14ac:dyDescent="0.3">
      <c r="A1544" s="1">
        <v>44245</v>
      </c>
      <c r="B1544" s="2">
        <v>48.490001999999997</v>
      </c>
      <c r="C1544" s="2">
        <v>48.869999</v>
      </c>
      <c r="D1544" s="2">
        <v>40.650002000000001</v>
      </c>
      <c r="E1544" s="2">
        <v>40.689999</v>
      </c>
      <c r="F1544" s="3">
        <v>40.689999</v>
      </c>
      <c r="G1544" s="4">
        <v>23990600</v>
      </c>
      <c r="H1544">
        <f t="shared" si="32"/>
        <v>-0.12135383805589367</v>
      </c>
      <c r="I1544">
        <f t="shared" si="30"/>
        <v>0.13889028050030899</v>
      </c>
      <c r="J1544">
        <f t="shared" si="31"/>
        <v>2.2048148503669278</v>
      </c>
    </row>
    <row r="1545" spans="1:12" x14ac:dyDescent="0.3">
      <c r="A1545" s="1">
        <v>44246</v>
      </c>
      <c r="B1545" s="2">
        <v>41.279998999999997</v>
      </c>
      <c r="C1545" s="2">
        <v>43.889999000000003</v>
      </c>
      <c r="D1545" s="2">
        <v>38.5</v>
      </c>
      <c r="E1545" s="2">
        <v>40.590000000000003</v>
      </c>
      <c r="F1545" s="3">
        <v>40.590000000000003</v>
      </c>
      <c r="G1545" s="4">
        <v>14828200</v>
      </c>
      <c r="H1545">
        <f t="shared" si="32"/>
        <v>-2.4606065867289234E-3</v>
      </c>
      <c r="I1545">
        <f t="shared" si="30"/>
        <v>0.1388898132051653</v>
      </c>
      <c r="J1545">
        <f t="shared" si="31"/>
        <v>2.204807432286493</v>
      </c>
    </row>
    <row r="1546" spans="1:12" x14ac:dyDescent="0.3">
      <c r="A1546" s="1">
        <v>44249</v>
      </c>
      <c r="B1546" s="2">
        <v>46.689999</v>
      </c>
      <c r="C1546" s="2">
        <v>48.509998000000003</v>
      </c>
      <c r="D1546" s="2">
        <v>42.400002000000001</v>
      </c>
      <c r="E1546" s="2">
        <v>46</v>
      </c>
      <c r="F1546" s="3">
        <v>46</v>
      </c>
      <c r="G1546" s="4">
        <v>19476000</v>
      </c>
      <c r="H1546">
        <f t="shared" si="32"/>
        <v>0.12511966563828852</v>
      </c>
      <c r="I1546">
        <f t="shared" si="30"/>
        <v>0.13907947962257489</v>
      </c>
      <c r="J1546">
        <f t="shared" si="31"/>
        <v>2.207818293321651</v>
      </c>
    </row>
    <row r="1547" spans="1:12" x14ac:dyDescent="0.3">
      <c r="A1547" s="1">
        <v>44250</v>
      </c>
      <c r="B1547" s="2">
        <v>44.970001000000003</v>
      </c>
      <c r="C1547" s="2">
        <v>46.23</v>
      </c>
      <c r="D1547" s="2">
        <v>40</v>
      </c>
      <c r="E1547" s="2">
        <v>44.970001000000003</v>
      </c>
      <c r="F1547" s="3">
        <v>44.970001000000003</v>
      </c>
      <c r="G1547" s="4">
        <v>7565200</v>
      </c>
      <c r="H1547">
        <f t="shared" si="32"/>
        <v>-2.2645773469432254E-2</v>
      </c>
      <c r="I1547">
        <f t="shared" si="30"/>
        <v>0.13907777619986608</v>
      </c>
      <c r="J1547">
        <f t="shared" si="31"/>
        <v>2.2077912523244607</v>
      </c>
    </row>
    <row r="1548" spans="1:12" x14ac:dyDescent="0.3">
      <c r="A1548" s="1">
        <v>44251</v>
      </c>
      <c r="B1548" s="2">
        <v>44.700001</v>
      </c>
      <c r="C1548" s="2">
        <v>91.709998999999996</v>
      </c>
      <c r="D1548" s="2">
        <v>44.700001</v>
      </c>
      <c r="E1548" s="2">
        <v>91.709998999999996</v>
      </c>
      <c r="F1548" s="3">
        <v>91.709998999999996</v>
      </c>
      <c r="G1548" s="4">
        <v>83111700</v>
      </c>
      <c r="H1548">
        <f t="shared" si="32"/>
        <v>0.71263579064725358</v>
      </c>
      <c r="I1548">
        <f t="shared" si="30"/>
        <v>0.1457966676830087</v>
      </c>
      <c r="J1548">
        <f t="shared" si="31"/>
        <v>2.314450348027012</v>
      </c>
    </row>
    <row r="1549" spans="1:12" x14ac:dyDescent="0.3">
      <c r="A1549" s="1">
        <v>9</v>
      </c>
      <c r="B1549" s="2">
        <v>169.55999800000001</v>
      </c>
      <c r="C1549" s="2">
        <v>184.679993</v>
      </c>
      <c r="D1549" s="2">
        <v>101</v>
      </c>
      <c r="E1549" s="2">
        <v>108.730003</v>
      </c>
      <c r="F1549" s="3">
        <v>108.730003</v>
      </c>
      <c r="G1549" s="4">
        <v>150308800</v>
      </c>
      <c r="H1549">
        <f t="shared" si="32"/>
        <v>0.17023635893402236</v>
      </c>
      <c r="I1549">
        <f t="shared" si="30"/>
        <v>0.14609604309649979</v>
      </c>
      <c r="J1549">
        <f t="shared" si="31"/>
        <v>2.3192027853834798</v>
      </c>
      <c r="K1549">
        <f>10000000*1.65*I1549</f>
        <v>2410584.7110922467</v>
      </c>
      <c r="L1549">
        <f>K1549*SQRT(30)</f>
        <v>13203316.230422974</v>
      </c>
    </row>
    <row r="1550" spans="1:12" x14ac:dyDescent="0.3">
      <c r="A1550" s="1">
        <v>44253</v>
      </c>
      <c r="B1550" s="2">
        <v>117.459999</v>
      </c>
      <c r="C1550" s="2">
        <v>142.89999399999999</v>
      </c>
      <c r="D1550" s="2">
        <v>86</v>
      </c>
      <c r="E1550" s="2">
        <v>101.739998</v>
      </c>
      <c r="F1550" s="3">
        <v>101.739998</v>
      </c>
      <c r="G1550" s="4">
        <v>91963000</v>
      </c>
      <c r="H1550">
        <f t="shared" si="32"/>
        <v>-6.6447252864271694E-2</v>
      </c>
      <c r="I1550">
        <f t="shared" si="30"/>
        <v>0.14612990017780644</v>
      </c>
      <c r="J1550">
        <f t="shared" si="31"/>
        <v>2.319740249887015</v>
      </c>
      <c r="L1550">
        <f>L1549/108.73</f>
        <v>121432.13676467372</v>
      </c>
    </row>
    <row r="1551" spans="1:12" x14ac:dyDescent="0.3">
      <c r="A1551" s="1">
        <v>44256</v>
      </c>
      <c r="B1551" s="2">
        <v>104.540001</v>
      </c>
      <c r="C1551" s="2">
        <v>133.990005</v>
      </c>
      <c r="D1551" s="2">
        <v>99.970000999999996</v>
      </c>
      <c r="E1551" s="2">
        <v>120.400002</v>
      </c>
      <c r="F1551" s="3">
        <v>120.400002</v>
      </c>
      <c r="G1551" s="4">
        <v>49597300</v>
      </c>
      <c r="H1551">
        <f t="shared" si="32"/>
        <v>0.16839902974934903</v>
      </c>
      <c r="I1551">
        <f t="shared" si="30"/>
        <v>0.14645310176134615</v>
      </c>
      <c r="J1551">
        <f t="shared" si="31"/>
        <v>2.3248709159673449</v>
      </c>
      <c r="L1551">
        <f>12*L1550</f>
        <v>1457185.6411760845</v>
      </c>
    </row>
    <row r="1552" spans="1:12" x14ac:dyDescent="0.3">
      <c r="A1552" s="1">
        <v>44257</v>
      </c>
      <c r="B1552" s="2">
        <v>116.93</v>
      </c>
      <c r="C1552" s="2">
        <v>133.199997</v>
      </c>
      <c r="D1552" s="2">
        <v>112.199997</v>
      </c>
      <c r="E1552" s="2">
        <v>118.18</v>
      </c>
      <c r="F1552" s="3">
        <v>118.18</v>
      </c>
      <c r="G1552" s="4">
        <v>33640400</v>
      </c>
      <c r="H1552">
        <f t="shared" si="32"/>
        <v>-1.8610663568487618E-2</v>
      </c>
      <c r="I1552">
        <f t="shared" si="30"/>
        <v>0.14646034260573493</v>
      </c>
      <c r="J1552">
        <f t="shared" si="31"/>
        <v>2.3249858608085541</v>
      </c>
    </row>
    <row r="1553" spans="1:10" x14ac:dyDescent="0.3">
      <c r="A1553" s="1">
        <v>44258</v>
      </c>
      <c r="B1553" s="2">
        <v>122.510002</v>
      </c>
      <c r="C1553" s="2">
        <v>127.75</v>
      </c>
      <c r="D1553" s="2">
        <v>113.120003</v>
      </c>
      <c r="E1553" s="2">
        <v>124.18</v>
      </c>
      <c r="F1553" s="3">
        <v>124.18</v>
      </c>
      <c r="G1553" s="4">
        <v>19173700</v>
      </c>
      <c r="H1553">
        <f t="shared" si="32"/>
        <v>4.952324001921822E-2</v>
      </c>
      <c r="I1553">
        <f t="shared" si="30"/>
        <v>0.14644623848297464</v>
      </c>
      <c r="J1553">
        <f t="shared" si="31"/>
        <v>2.3247619648008473</v>
      </c>
    </row>
    <row r="1554" spans="1:10" x14ac:dyDescent="0.3">
      <c r="A1554" s="1">
        <v>44259</v>
      </c>
      <c r="B1554" s="2">
        <v>125</v>
      </c>
      <c r="C1554" s="2">
        <v>147.86999499999999</v>
      </c>
      <c r="D1554" s="2">
        <v>115.300003</v>
      </c>
      <c r="E1554" s="2">
        <v>132.35000600000001</v>
      </c>
      <c r="F1554" s="3">
        <v>132.35000600000001</v>
      </c>
      <c r="G1554" s="4">
        <v>32473600</v>
      </c>
      <c r="H1554">
        <f t="shared" si="32"/>
        <v>6.3717848070703284E-2</v>
      </c>
      <c r="I1554">
        <f t="shared" ref="I1554:I1579" si="33">_xlfn.STDEV.S(H1302:H1554)</f>
        <v>0.1464178094958532</v>
      </c>
      <c r="J1554">
        <f t="shared" ref="J1554:J1579" si="34">I1554*SQRT(252)</f>
        <v>2.3243106686211545</v>
      </c>
    </row>
    <row r="1555" spans="1:10" x14ac:dyDescent="0.3">
      <c r="A1555" s="1">
        <v>44260</v>
      </c>
      <c r="B1555" s="2">
        <v>128.16999799999999</v>
      </c>
      <c r="C1555" s="2">
        <v>151.529999</v>
      </c>
      <c r="D1555" s="2">
        <v>127.5</v>
      </c>
      <c r="E1555" s="2">
        <v>137.740005</v>
      </c>
      <c r="F1555" s="3">
        <v>137.740005</v>
      </c>
      <c r="G1555" s="4">
        <v>30660200</v>
      </c>
      <c r="H1555">
        <f t="shared" si="32"/>
        <v>3.9917912409377351E-2</v>
      </c>
      <c r="I1555">
        <f t="shared" si="33"/>
        <v>0.1464191967697725</v>
      </c>
      <c r="J1555">
        <f t="shared" si="34"/>
        <v>2.3243326909118993</v>
      </c>
    </row>
    <row r="1556" spans="1:10" x14ac:dyDescent="0.3">
      <c r="A1556" s="1">
        <v>44263</v>
      </c>
      <c r="B1556" s="2">
        <v>154.88999899999999</v>
      </c>
      <c r="C1556" s="2">
        <v>210.86999499999999</v>
      </c>
      <c r="D1556" s="2">
        <v>146.10000600000001</v>
      </c>
      <c r="E1556" s="2">
        <v>194.5</v>
      </c>
      <c r="F1556" s="3">
        <v>194.5</v>
      </c>
      <c r="G1556" s="4">
        <v>63424800</v>
      </c>
      <c r="H1556">
        <f t="shared" si="32"/>
        <v>0.34506427664167361</v>
      </c>
      <c r="I1556">
        <f t="shared" si="33"/>
        <v>0.14787397325574239</v>
      </c>
      <c r="J1556">
        <f t="shared" si="34"/>
        <v>2.3474265516822639</v>
      </c>
    </row>
    <row r="1557" spans="1:10" x14ac:dyDescent="0.3">
      <c r="A1557" s="1">
        <v>44264</v>
      </c>
      <c r="B1557" s="2">
        <v>217.71000699999999</v>
      </c>
      <c r="C1557" s="2">
        <v>249.85000600000001</v>
      </c>
      <c r="D1557" s="2">
        <v>208.509995</v>
      </c>
      <c r="E1557" s="2">
        <v>246.89999399999999</v>
      </c>
      <c r="F1557" s="3">
        <v>246.89999399999999</v>
      </c>
      <c r="G1557" s="4">
        <v>38725800</v>
      </c>
      <c r="H1557">
        <f t="shared" si="32"/>
        <v>0.23855120899129589</v>
      </c>
      <c r="I1557">
        <f t="shared" si="33"/>
        <v>0.14852868929755647</v>
      </c>
      <c r="J1557">
        <f t="shared" si="34"/>
        <v>2.3578198466382916</v>
      </c>
    </row>
    <row r="1558" spans="1:10" x14ac:dyDescent="0.3">
      <c r="A1558" s="1">
        <v>44265</v>
      </c>
      <c r="B1558" s="2">
        <v>269.42999300000002</v>
      </c>
      <c r="C1558" s="2">
        <v>348.5</v>
      </c>
      <c r="D1558" s="2">
        <v>172</v>
      </c>
      <c r="E1558" s="2">
        <v>265</v>
      </c>
      <c r="F1558" s="3">
        <v>265</v>
      </c>
      <c r="G1558" s="4">
        <v>71361900</v>
      </c>
      <c r="H1558">
        <f t="shared" si="32"/>
        <v>7.0746453936425299E-2</v>
      </c>
      <c r="I1558">
        <f t="shared" si="33"/>
        <v>0.14849388810405104</v>
      </c>
      <c r="J1558">
        <f t="shared" si="34"/>
        <v>2.3572673948182299</v>
      </c>
    </row>
    <row r="1559" spans="1:10" x14ac:dyDescent="0.3">
      <c r="A1559" s="1">
        <v>44266</v>
      </c>
      <c r="B1559" s="2">
        <v>241.63999899999999</v>
      </c>
      <c r="C1559" s="2">
        <v>281.5</v>
      </c>
      <c r="D1559" s="2">
        <v>232.60000600000001</v>
      </c>
      <c r="E1559" s="2">
        <v>260</v>
      </c>
      <c r="F1559" s="3">
        <v>260</v>
      </c>
      <c r="G1559" s="4">
        <v>28186000</v>
      </c>
      <c r="H1559">
        <f t="shared" si="32"/>
        <v>-1.9048194970694474E-2</v>
      </c>
      <c r="I1559">
        <f t="shared" si="33"/>
        <v>0.14832694513383782</v>
      </c>
      <c r="J1559">
        <f t="shared" si="34"/>
        <v>2.354617257324342</v>
      </c>
    </row>
    <row r="1560" spans="1:10" x14ac:dyDescent="0.3">
      <c r="A1560" s="1">
        <v>44267</v>
      </c>
      <c r="B1560" s="2">
        <v>275</v>
      </c>
      <c r="C1560" s="2">
        <v>295.5</v>
      </c>
      <c r="D1560" s="2">
        <v>262.26998900000001</v>
      </c>
      <c r="E1560" s="2">
        <v>264.5</v>
      </c>
      <c r="F1560" s="3">
        <v>264.5</v>
      </c>
      <c r="G1560" s="4">
        <v>25760700</v>
      </c>
      <c r="H1560">
        <f t="shared" si="32"/>
        <v>1.7159620282826284E-2</v>
      </c>
      <c r="I1560">
        <f t="shared" si="33"/>
        <v>0.14830777743725396</v>
      </c>
      <c r="J1560">
        <f t="shared" si="34"/>
        <v>2.3543129795741411</v>
      </c>
    </row>
    <row r="1561" spans="1:10" x14ac:dyDescent="0.3">
      <c r="A1561" s="1">
        <v>44270</v>
      </c>
      <c r="B1561" s="2">
        <v>277.51998900000001</v>
      </c>
      <c r="C1561" s="2">
        <v>283</v>
      </c>
      <c r="D1561" s="2">
        <v>206</v>
      </c>
      <c r="E1561" s="2">
        <v>220.13999899999999</v>
      </c>
      <c r="F1561" s="3">
        <v>220.13999899999999</v>
      </c>
      <c r="G1561" s="4">
        <v>24100400</v>
      </c>
      <c r="H1561">
        <f t="shared" si="32"/>
        <v>-0.18357754824567224</v>
      </c>
      <c r="I1561">
        <f t="shared" si="33"/>
        <v>0.14879932601710741</v>
      </c>
      <c r="J1561">
        <f t="shared" si="34"/>
        <v>2.3621160713717364</v>
      </c>
    </row>
    <row r="1562" spans="1:10" x14ac:dyDescent="0.3">
      <c r="A1562" s="1">
        <v>44271</v>
      </c>
      <c r="B1562" s="2">
        <v>203.16000399999999</v>
      </c>
      <c r="C1562" s="2">
        <v>220.699997</v>
      </c>
      <c r="D1562" s="2">
        <v>172.35000600000001</v>
      </c>
      <c r="E1562" s="2">
        <v>208.16999799999999</v>
      </c>
      <c r="F1562" s="3">
        <v>208.16999799999999</v>
      </c>
      <c r="G1562" s="4">
        <v>35241900</v>
      </c>
      <c r="H1562">
        <f t="shared" si="32"/>
        <v>-5.5908659080647009E-2</v>
      </c>
      <c r="I1562">
        <f t="shared" si="33"/>
        <v>0.14865168329184053</v>
      </c>
      <c r="J1562">
        <f t="shared" si="34"/>
        <v>2.3597723157680726</v>
      </c>
    </row>
    <row r="1563" spans="1:10" x14ac:dyDescent="0.3">
      <c r="A1563" s="1">
        <v>44272</v>
      </c>
      <c r="B1563" s="2">
        <v>217.83999600000001</v>
      </c>
      <c r="C1563" s="2">
        <v>231.470001</v>
      </c>
      <c r="D1563" s="2">
        <v>204</v>
      </c>
      <c r="E1563" s="2">
        <v>209.80999800000001</v>
      </c>
      <c r="F1563" s="3">
        <v>209.80999800000001</v>
      </c>
      <c r="G1563" s="4">
        <v>16259300</v>
      </c>
      <c r="H1563">
        <f t="shared" si="32"/>
        <v>7.8473057641403783E-3</v>
      </c>
      <c r="I1563">
        <f t="shared" si="33"/>
        <v>0.14859719650699765</v>
      </c>
      <c r="J1563">
        <f t="shared" si="34"/>
        <v>2.35890736487347</v>
      </c>
    </row>
    <row r="1564" spans="1:10" x14ac:dyDescent="0.3">
      <c r="A1564" s="1">
        <v>44273</v>
      </c>
      <c r="B1564" s="2">
        <v>214</v>
      </c>
      <c r="C1564" s="2">
        <v>218.88000500000001</v>
      </c>
      <c r="D1564" s="2">
        <v>195.64999399999999</v>
      </c>
      <c r="E1564" s="2">
        <v>201.75</v>
      </c>
      <c r="F1564" s="3">
        <v>201.75</v>
      </c>
      <c r="G1564" s="4">
        <v>11764900</v>
      </c>
      <c r="H1564">
        <f t="shared" si="32"/>
        <v>-3.9173042586117111E-2</v>
      </c>
      <c r="I1564">
        <f t="shared" si="33"/>
        <v>0.14860622899945439</v>
      </c>
      <c r="J1564">
        <f t="shared" si="34"/>
        <v>2.3590507512460275</v>
      </c>
    </row>
    <row r="1565" spans="1:10" x14ac:dyDescent="0.3">
      <c r="A1565" s="1">
        <v>44274</v>
      </c>
      <c r="B1565" s="2">
        <v>195.729996</v>
      </c>
      <c r="C1565" s="2">
        <v>227</v>
      </c>
      <c r="D1565" s="2">
        <v>182.66000399999999</v>
      </c>
      <c r="E1565" s="2">
        <v>200.270004</v>
      </c>
      <c r="F1565" s="3">
        <v>200.270004</v>
      </c>
      <c r="G1565" s="4">
        <v>24552100</v>
      </c>
      <c r="H1565">
        <f t="shared" si="32"/>
        <v>-7.3628310596897412E-3</v>
      </c>
      <c r="I1565">
        <f t="shared" si="33"/>
        <v>0.14838525204756384</v>
      </c>
      <c r="J1565">
        <f t="shared" si="34"/>
        <v>2.3555428508849507</v>
      </c>
    </row>
    <row r="1566" spans="1:10" x14ac:dyDescent="0.3">
      <c r="A1566" s="1">
        <v>44277</v>
      </c>
      <c r="B1566" s="2">
        <v>205.259995</v>
      </c>
      <c r="C1566" s="2">
        <v>210.36000100000001</v>
      </c>
      <c r="D1566" s="2">
        <v>186.199997</v>
      </c>
      <c r="E1566" s="2">
        <v>194.490005</v>
      </c>
      <c r="F1566" s="3">
        <v>194.490005</v>
      </c>
      <c r="G1566" s="4">
        <v>10061500</v>
      </c>
      <c r="H1566">
        <f t="shared" si="32"/>
        <v>-2.9285702527092113E-2</v>
      </c>
      <c r="I1566">
        <f t="shared" si="33"/>
        <v>0.14830320429022376</v>
      </c>
      <c r="J1566">
        <f t="shared" si="34"/>
        <v>2.354240383115636</v>
      </c>
    </row>
    <row r="1567" spans="1:10" x14ac:dyDescent="0.3">
      <c r="A1567" s="1">
        <v>44278</v>
      </c>
      <c r="B1567" s="2">
        <v>197.5</v>
      </c>
      <c r="C1567" s="2">
        <v>201.75</v>
      </c>
      <c r="D1567" s="2">
        <v>177.550003</v>
      </c>
      <c r="E1567" s="2">
        <v>181.75</v>
      </c>
      <c r="F1567" s="3">
        <v>181.75</v>
      </c>
      <c r="G1567" s="4">
        <v>14429100</v>
      </c>
      <c r="H1567">
        <f t="shared" si="32"/>
        <v>-6.7748657149647562E-2</v>
      </c>
      <c r="I1567">
        <f t="shared" si="33"/>
        <v>0.14819116456085638</v>
      </c>
      <c r="J1567">
        <f t="shared" si="34"/>
        <v>2.3524618075504455</v>
      </c>
    </row>
    <row r="1568" spans="1:10" x14ac:dyDescent="0.3">
      <c r="A1568" s="1">
        <v>44279</v>
      </c>
      <c r="B1568" s="2">
        <v>157.979996</v>
      </c>
      <c r="C1568" s="2">
        <v>166.970001</v>
      </c>
      <c r="D1568" s="2">
        <v>118.620003</v>
      </c>
      <c r="E1568" s="2">
        <v>120.339996</v>
      </c>
      <c r="F1568" s="3">
        <v>120.339996</v>
      </c>
      <c r="G1568" s="4">
        <v>24177900</v>
      </c>
      <c r="H1568">
        <f t="shared" si="32"/>
        <v>-0.41231107986057935</v>
      </c>
      <c r="I1568">
        <f t="shared" si="33"/>
        <v>0.1506102973353651</v>
      </c>
      <c r="J1568">
        <f t="shared" si="34"/>
        <v>2.3908643498092204</v>
      </c>
    </row>
    <row r="1569" spans="1:10" x14ac:dyDescent="0.3">
      <c r="A1569" s="1">
        <v>44280</v>
      </c>
      <c r="B1569" s="2">
        <v>123.489998</v>
      </c>
      <c r="C1569" s="2">
        <v>187.5</v>
      </c>
      <c r="D1569" s="2">
        <v>116.900002</v>
      </c>
      <c r="E1569" s="2">
        <v>183.75</v>
      </c>
      <c r="F1569" s="3">
        <v>183.75</v>
      </c>
      <c r="G1569" s="4">
        <v>50962300</v>
      </c>
      <c r="H1569">
        <f t="shared" si="32"/>
        <v>0.42325510153989665</v>
      </c>
      <c r="I1569">
        <f t="shared" si="33"/>
        <v>0.15272725932018233</v>
      </c>
      <c r="J1569">
        <f t="shared" si="34"/>
        <v>2.4244700794900447</v>
      </c>
    </row>
    <row r="1570" spans="1:10" x14ac:dyDescent="0.3">
      <c r="A1570" s="1">
        <v>44281</v>
      </c>
      <c r="B1570" s="2">
        <v>197.679993</v>
      </c>
      <c r="C1570" s="2">
        <v>218.929993</v>
      </c>
      <c r="D1570" s="2">
        <v>163.259995</v>
      </c>
      <c r="E1570" s="2">
        <v>181</v>
      </c>
      <c r="F1570" s="3">
        <v>181</v>
      </c>
      <c r="G1570" s="4">
        <v>37371900</v>
      </c>
      <c r="H1570">
        <f t="shared" si="32"/>
        <v>-1.5079106827120305E-2</v>
      </c>
      <c r="I1570">
        <f t="shared" si="33"/>
        <v>0.15273692260392915</v>
      </c>
      <c r="J1570">
        <f t="shared" si="34"/>
        <v>2.4246234793638988</v>
      </c>
    </row>
    <row r="1571" spans="1:10" x14ac:dyDescent="0.3">
      <c r="A1571" s="1">
        <v>44284</v>
      </c>
      <c r="B1571" s="2">
        <v>180.75</v>
      </c>
      <c r="C1571" s="2">
        <v>193.91999799999999</v>
      </c>
      <c r="D1571" s="2">
        <v>173.509995</v>
      </c>
      <c r="E1571" s="2">
        <v>181.300003</v>
      </c>
      <c r="F1571" s="3">
        <v>181.300003</v>
      </c>
      <c r="G1571" s="4">
        <v>10042200</v>
      </c>
      <c r="H1571">
        <f t="shared" si="32"/>
        <v>1.6561030421388778E-3</v>
      </c>
      <c r="I1571">
        <f t="shared" si="33"/>
        <v>0.15271715384035142</v>
      </c>
      <c r="J1571">
        <f t="shared" si="34"/>
        <v>2.4243096599709753</v>
      </c>
    </row>
    <row r="1572" spans="1:10" x14ac:dyDescent="0.3">
      <c r="A1572" s="1">
        <v>44285</v>
      </c>
      <c r="B1572" s="2">
        <v>187.5</v>
      </c>
      <c r="C1572" s="2">
        <v>204.300003</v>
      </c>
      <c r="D1572" s="2">
        <v>182</v>
      </c>
      <c r="E1572" s="2">
        <v>194.46000699999999</v>
      </c>
      <c r="F1572" s="3">
        <v>194.46000699999999</v>
      </c>
      <c r="G1572" s="4">
        <v>17094900</v>
      </c>
      <c r="H1572">
        <f t="shared" si="32"/>
        <v>7.0073388070665946E-2</v>
      </c>
      <c r="I1572">
        <f t="shared" si="33"/>
        <v>0.1527115275024496</v>
      </c>
      <c r="J1572">
        <f t="shared" si="34"/>
        <v>2.4242203446256938</v>
      </c>
    </row>
    <row r="1573" spans="1:10" x14ac:dyDescent="0.3">
      <c r="A1573" s="1">
        <v>44286</v>
      </c>
      <c r="B1573" s="2">
        <v>197.5</v>
      </c>
      <c r="C1573" s="2">
        <v>199.46000699999999</v>
      </c>
      <c r="D1573" s="2">
        <v>187.11000100000001</v>
      </c>
      <c r="E1573" s="2">
        <v>189.820007</v>
      </c>
      <c r="F1573" s="3">
        <v>189.820007</v>
      </c>
      <c r="G1573" s="4">
        <v>8393800</v>
      </c>
      <c r="H1573">
        <f t="shared" si="32"/>
        <v>-2.4150230799243659E-2</v>
      </c>
      <c r="I1573">
        <f t="shared" si="33"/>
        <v>0.15239686586626058</v>
      </c>
      <c r="J1573">
        <f t="shared" si="34"/>
        <v>2.4192252460067611</v>
      </c>
    </row>
    <row r="1574" spans="1:10" x14ac:dyDescent="0.3">
      <c r="A1574" s="1">
        <v>44287</v>
      </c>
      <c r="B1574" s="2">
        <v>193.36000100000001</v>
      </c>
      <c r="C1574" s="2">
        <v>196.970001</v>
      </c>
      <c r="D1574" s="2">
        <v>183.60000600000001</v>
      </c>
      <c r="E1574" s="2">
        <v>191.449997</v>
      </c>
      <c r="F1574" s="3">
        <v>191.449997</v>
      </c>
      <c r="G1574" s="4">
        <v>9334300</v>
      </c>
      <c r="H1574">
        <f t="shared" si="32"/>
        <v>8.5503706740287407E-3</v>
      </c>
      <c r="I1574">
        <f t="shared" si="33"/>
        <v>0.15235421015559455</v>
      </c>
      <c r="J1574">
        <f t="shared" si="34"/>
        <v>2.418548107592247</v>
      </c>
    </row>
    <row r="1575" spans="1:10" x14ac:dyDescent="0.3">
      <c r="A1575" s="1">
        <v>44291</v>
      </c>
      <c r="B1575" s="2">
        <v>171</v>
      </c>
      <c r="C1575" s="2">
        <v>195</v>
      </c>
      <c r="D1575" s="2">
        <v>164.80999800000001</v>
      </c>
      <c r="E1575" s="2">
        <v>186.949997</v>
      </c>
      <c r="F1575" s="3">
        <v>186.949997</v>
      </c>
      <c r="G1575" s="4">
        <v>14070500</v>
      </c>
      <c r="H1575">
        <f t="shared" si="32"/>
        <v>-2.3785476877364545E-2</v>
      </c>
      <c r="I1575">
        <f t="shared" si="33"/>
        <v>0.15226916865638046</v>
      </c>
      <c r="J1575">
        <f t="shared" si="34"/>
        <v>2.4171981156440032</v>
      </c>
    </row>
    <row r="1576" spans="1:10" x14ac:dyDescent="0.3">
      <c r="A1576" s="1">
        <v>44292</v>
      </c>
      <c r="B1576" s="2">
        <v>185.21000699999999</v>
      </c>
      <c r="C1576" s="2">
        <v>192</v>
      </c>
      <c r="D1576" s="2">
        <v>183.55999800000001</v>
      </c>
      <c r="E1576" s="2">
        <v>184.5</v>
      </c>
      <c r="F1576" s="3">
        <v>184.5</v>
      </c>
      <c r="G1576" s="4">
        <v>6218300</v>
      </c>
      <c r="H1576">
        <f t="shared" si="32"/>
        <v>-1.3191721895469273E-2</v>
      </c>
      <c r="I1576">
        <f t="shared" si="33"/>
        <v>0.15199639601875281</v>
      </c>
      <c r="J1576">
        <f t="shared" si="34"/>
        <v>2.412867984262248</v>
      </c>
    </row>
    <row r="1577" spans="1:10" x14ac:dyDescent="0.3">
      <c r="A1577" s="1">
        <v>44293</v>
      </c>
      <c r="B1577" s="2">
        <v>183.220001</v>
      </c>
      <c r="C1577" s="2">
        <v>184.5</v>
      </c>
      <c r="D1577" s="2">
        <v>176.11000100000001</v>
      </c>
      <c r="E1577" s="2">
        <v>177.970001</v>
      </c>
      <c r="F1577" s="3">
        <v>177.970001</v>
      </c>
      <c r="G1577" s="4">
        <v>4768300</v>
      </c>
      <c r="H1577">
        <f t="shared" si="32"/>
        <v>-3.603446109976316E-2</v>
      </c>
      <c r="I1577">
        <f t="shared" si="33"/>
        <v>0.15201712825054739</v>
      </c>
      <c r="J1577">
        <f t="shared" si="34"/>
        <v>2.4131970982389586</v>
      </c>
    </row>
    <row r="1578" spans="1:10" x14ac:dyDescent="0.3">
      <c r="A1578" s="1">
        <v>44294</v>
      </c>
      <c r="B1578" s="2">
        <v>185.88000500000001</v>
      </c>
      <c r="C1578" s="2">
        <v>185.88000500000001</v>
      </c>
      <c r="D1578" s="2">
        <v>164.300003</v>
      </c>
      <c r="E1578" s="2">
        <v>170.259995</v>
      </c>
      <c r="F1578" s="3">
        <v>170.259995</v>
      </c>
      <c r="G1578" s="4">
        <v>10047400</v>
      </c>
      <c r="H1578">
        <f t="shared" si="32"/>
        <v>-4.4288351291758871E-2</v>
      </c>
      <c r="I1578">
        <f t="shared" si="33"/>
        <v>0.15197609624046304</v>
      </c>
      <c r="J1578">
        <f t="shared" si="34"/>
        <v>2.4125457352721011</v>
      </c>
    </row>
    <row r="1579" spans="1:10" x14ac:dyDescent="0.3">
      <c r="A1579" s="1">
        <v>44295</v>
      </c>
      <c r="B1579" s="2">
        <v>169.699997</v>
      </c>
      <c r="C1579" s="2">
        <v>171.58000200000001</v>
      </c>
      <c r="D1579" s="2">
        <v>153</v>
      </c>
      <c r="E1579" s="2">
        <v>158.36000100000001</v>
      </c>
      <c r="F1579" s="3">
        <v>158.36000100000001</v>
      </c>
      <c r="G1579" s="4">
        <v>9442000</v>
      </c>
      <c r="H1579">
        <f t="shared" si="32"/>
        <v>-7.2455722536404019E-2</v>
      </c>
      <c r="I1579">
        <f t="shared" si="33"/>
        <v>0.15205530999786129</v>
      </c>
      <c r="J1579">
        <f t="shared" si="34"/>
        <v>2.4138032146870456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017B-697F-234C-A0BB-E759B777C7DD}">
  <dimension ref="A1:J1579"/>
  <sheetViews>
    <sheetView tabSelected="1" topLeftCell="E1" workbookViewId="0">
      <selection activeCell="M10" sqref="M10"/>
    </sheetView>
  </sheetViews>
  <sheetFormatPr defaultColWidth="11.19921875" defaultRowHeight="15.6" x14ac:dyDescent="0.3"/>
  <cols>
    <col min="1" max="1" width="10.796875" style="5"/>
    <col min="2" max="6" width="10.796875" style="6"/>
    <col min="7" max="7" width="15" style="4" bestFit="1" customWidth="1"/>
    <col min="9" max="9" width="20" bestFit="1" customWidth="1"/>
  </cols>
  <sheetData>
    <row r="1" spans="1:10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10" x14ac:dyDescent="0.3">
      <c r="A2" s="5">
        <v>42006</v>
      </c>
      <c r="B2" s="6">
        <v>4760.2402339999999</v>
      </c>
      <c r="C2" s="6">
        <v>4777.0097660000001</v>
      </c>
      <c r="D2" s="6">
        <v>4698.1098629999997</v>
      </c>
      <c r="E2" s="6">
        <v>4726.8100590000004</v>
      </c>
      <c r="F2" s="6">
        <v>4726.8100590000004</v>
      </c>
      <c r="G2" s="4">
        <v>1435150000</v>
      </c>
    </row>
    <row r="3" spans="1:10" x14ac:dyDescent="0.3">
      <c r="A3" s="5">
        <v>42009</v>
      </c>
      <c r="B3" s="6">
        <v>4700.3398440000001</v>
      </c>
      <c r="C3" s="6">
        <v>4702.7700199999999</v>
      </c>
      <c r="D3" s="6">
        <v>4641.4599609999996</v>
      </c>
      <c r="E3" s="6">
        <v>4652.5698240000002</v>
      </c>
      <c r="F3" s="6">
        <v>4652.5698240000002</v>
      </c>
      <c r="G3" s="4">
        <v>1794470000</v>
      </c>
      <c r="H3">
        <f>LN(E3/E2)</f>
        <v>-1.5830851591754926E-2</v>
      </c>
      <c r="I3" t="s">
        <v>7</v>
      </c>
      <c r="J3">
        <v>225</v>
      </c>
    </row>
    <row r="4" spans="1:10" x14ac:dyDescent="0.3">
      <c r="A4" s="5">
        <v>42010</v>
      </c>
      <c r="B4" s="6">
        <v>4666.8500979999999</v>
      </c>
      <c r="C4" s="6">
        <v>4667.330078</v>
      </c>
      <c r="D4" s="6">
        <v>4567.5898440000001</v>
      </c>
      <c r="E4" s="6">
        <v>4592.7402339999999</v>
      </c>
      <c r="F4" s="6">
        <v>4592.7402339999999</v>
      </c>
      <c r="G4" s="4">
        <v>2167320000</v>
      </c>
      <c r="H4">
        <f t="shared" ref="H4:H67" si="0">LN(E4/E3)</f>
        <v>-1.2942870457109564E-2</v>
      </c>
      <c r="I4" t="s">
        <v>8</v>
      </c>
      <c r="J4" s="7">
        <v>1.9</v>
      </c>
    </row>
    <row r="5" spans="1:10" x14ac:dyDescent="0.3">
      <c r="A5" s="5">
        <v>42011</v>
      </c>
      <c r="B5" s="6">
        <v>4626.8398440000001</v>
      </c>
      <c r="C5" s="6">
        <v>4652.7202150000003</v>
      </c>
      <c r="D5" s="6">
        <v>4613.8999020000001</v>
      </c>
      <c r="E5" s="6">
        <v>4650.4702150000003</v>
      </c>
      <c r="F5" s="6">
        <v>4650.4702150000003</v>
      </c>
      <c r="G5" s="4">
        <v>1957950000</v>
      </c>
      <c r="H5">
        <f t="shared" si="0"/>
        <v>1.2491489182419527E-2</v>
      </c>
      <c r="I5" t="s">
        <v>9</v>
      </c>
      <c r="J5">
        <v>200</v>
      </c>
    </row>
    <row r="6" spans="1:10" x14ac:dyDescent="0.3">
      <c r="A6" s="5">
        <v>42012</v>
      </c>
      <c r="B6" s="6">
        <v>4689.5400390000004</v>
      </c>
      <c r="C6" s="6">
        <v>4741.3798829999996</v>
      </c>
      <c r="D6" s="6">
        <v>4688.0200199999999</v>
      </c>
      <c r="E6" s="6">
        <v>4736.1899409999996</v>
      </c>
      <c r="F6" s="6">
        <v>4736.1899409999996</v>
      </c>
      <c r="G6" s="4">
        <v>2105450000</v>
      </c>
      <c r="H6">
        <f t="shared" si="0"/>
        <v>1.8264666570755449E-2</v>
      </c>
      <c r="I6" t="s">
        <v>10</v>
      </c>
      <c r="J6" s="7">
        <v>0.02</v>
      </c>
    </row>
    <row r="7" spans="1:10" x14ac:dyDescent="0.3">
      <c r="A7" s="5">
        <v>42013</v>
      </c>
      <c r="B7" s="6">
        <v>4744.4702150000003</v>
      </c>
      <c r="C7" s="6">
        <v>4744.7099609999996</v>
      </c>
      <c r="D7" s="6">
        <v>4681.2402339999999</v>
      </c>
      <c r="E7" s="6">
        <v>4704.0698240000002</v>
      </c>
      <c r="F7" s="6">
        <v>4704.0698240000002</v>
      </c>
      <c r="G7" s="4">
        <v>1715830000</v>
      </c>
      <c r="H7">
        <f t="shared" si="0"/>
        <v>-6.8049485393853852E-3</v>
      </c>
      <c r="I7" t="s">
        <v>11</v>
      </c>
      <c r="J7">
        <f>1/12</f>
        <v>8.3333333333333329E-2</v>
      </c>
    </row>
    <row r="8" spans="1:10" x14ac:dyDescent="0.3">
      <c r="A8" s="5">
        <v>42016</v>
      </c>
      <c r="B8" s="6">
        <v>4714.0698240000002</v>
      </c>
      <c r="C8" s="6">
        <v>4715.8100590000004</v>
      </c>
      <c r="D8" s="6">
        <v>4650.6499020000001</v>
      </c>
      <c r="E8" s="6">
        <v>4664.7099609999996</v>
      </c>
      <c r="F8" s="6">
        <v>4664.7099609999996</v>
      </c>
      <c r="G8" s="4">
        <v>1861960000</v>
      </c>
      <c r="H8">
        <f t="shared" si="0"/>
        <v>-8.4023950761948837E-3</v>
      </c>
    </row>
    <row r="9" spans="1:10" x14ac:dyDescent="0.3">
      <c r="A9" s="5">
        <v>42017</v>
      </c>
      <c r="B9" s="6">
        <v>4708.7402339999999</v>
      </c>
      <c r="C9" s="6">
        <v>4751.3398440000001</v>
      </c>
      <c r="D9" s="6">
        <v>4624.2797849999997</v>
      </c>
      <c r="E9" s="6">
        <v>4661.5</v>
      </c>
      <c r="F9" s="6">
        <v>4661.5</v>
      </c>
      <c r="G9" s="4">
        <v>2162180000</v>
      </c>
      <c r="H9">
        <f t="shared" si="0"/>
        <v>-6.8837419277035074E-4</v>
      </c>
      <c r="I9">
        <f>LN(J3/J5)</f>
        <v>0.11778303565638346</v>
      </c>
    </row>
    <row r="10" spans="1:10" x14ac:dyDescent="0.3">
      <c r="A10" s="5">
        <v>42018</v>
      </c>
      <c r="B10" s="6">
        <v>4610.7597660000001</v>
      </c>
      <c r="C10" s="6">
        <v>4655.3701170000004</v>
      </c>
      <c r="D10" s="6">
        <v>4595.9799800000001</v>
      </c>
      <c r="E10" s="6">
        <v>4639.3198240000002</v>
      </c>
      <c r="F10" s="6">
        <v>4639.3198240000002</v>
      </c>
      <c r="G10" s="4">
        <v>2073810000</v>
      </c>
      <c r="H10">
        <f t="shared" si="0"/>
        <v>-4.7695189169333864E-3</v>
      </c>
      <c r="I10" s="8">
        <f>J6+0.5*(J4^2)*J7</f>
        <v>0.17041666666666663</v>
      </c>
    </row>
    <row r="11" spans="1:10" x14ac:dyDescent="0.3">
      <c r="A11" s="5">
        <v>42019</v>
      </c>
      <c r="B11" s="6">
        <v>4657.4599609999996</v>
      </c>
      <c r="C11" s="6">
        <v>4663.9599609999996</v>
      </c>
      <c r="D11" s="6">
        <v>4567.3901370000003</v>
      </c>
      <c r="E11" s="6">
        <v>4570.8198240000002</v>
      </c>
      <c r="F11" s="6">
        <v>4570.8198240000002</v>
      </c>
      <c r="G11" s="4">
        <v>1976260000</v>
      </c>
      <c r="H11">
        <f t="shared" si="0"/>
        <v>-1.4875184460310678E-2</v>
      </c>
      <c r="I11">
        <f>(I9+I10)/J4*SQRT(J7)</f>
        <v>4.3787414662258675E-2</v>
      </c>
      <c r="J11">
        <f>I11-(J4*SQRT(J7))</f>
        <v>-0.50469534106788572</v>
      </c>
    </row>
    <row r="12" spans="1:10" x14ac:dyDescent="0.3">
      <c r="A12" s="5">
        <v>42020</v>
      </c>
      <c r="B12" s="6">
        <v>4566.3798829999996</v>
      </c>
      <c r="C12" s="6">
        <v>4635.8198240000002</v>
      </c>
      <c r="D12" s="6">
        <v>4563.1098629999997</v>
      </c>
      <c r="E12" s="6">
        <v>4634.3798829999996</v>
      </c>
      <c r="F12" s="6">
        <v>4634.3798829999996</v>
      </c>
      <c r="G12" s="4">
        <v>1970520000</v>
      </c>
      <c r="H12">
        <f t="shared" si="0"/>
        <v>1.380981861424831E-2</v>
      </c>
      <c r="I12">
        <f>_xlfn.NORM.S.DIST(I11,TRUE)</f>
        <v>0.51746307044617057</v>
      </c>
      <c r="J12">
        <f>_xlfn.NORM.S.DIST(J11,TRUE)</f>
        <v>0.30688641691241736</v>
      </c>
    </row>
    <row r="13" spans="1:10" x14ac:dyDescent="0.3">
      <c r="A13" s="5">
        <v>42024</v>
      </c>
      <c r="B13" s="6">
        <v>4655.8398440000001</v>
      </c>
      <c r="C13" s="6">
        <v>4665.6499020000001</v>
      </c>
      <c r="D13" s="6">
        <v>4601.1000979999999</v>
      </c>
      <c r="E13" s="6">
        <v>4654.8500979999999</v>
      </c>
      <c r="F13" s="6">
        <v>4654.8500979999999</v>
      </c>
      <c r="G13" s="4">
        <v>1835040000</v>
      </c>
      <c r="H13">
        <f t="shared" si="0"/>
        <v>4.4073078558571985E-3</v>
      </c>
      <c r="I13">
        <f>J3*EXP(-J7)</f>
        <v>207.00999329159774</v>
      </c>
      <c r="J13">
        <f>J5*EXP(-J6*J7)</f>
        <v>199.66694429018773</v>
      </c>
    </row>
    <row r="14" spans="1:10" x14ac:dyDescent="0.3">
      <c r="A14" s="5">
        <v>42025</v>
      </c>
      <c r="B14" s="6">
        <v>4641.9501950000003</v>
      </c>
      <c r="C14" s="6">
        <v>4692.4599609999996</v>
      </c>
      <c r="D14" s="6">
        <v>4629.5898440000001</v>
      </c>
      <c r="E14" s="6">
        <v>4667.419922</v>
      </c>
      <c r="F14" s="6">
        <v>4667.419922</v>
      </c>
      <c r="G14" s="4">
        <v>1847420000</v>
      </c>
      <c r="H14">
        <f t="shared" si="0"/>
        <v>2.6967319313269912E-3</v>
      </c>
      <c r="I14">
        <f>I13*I12</f>
        <v>107.12002674171134</v>
      </c>
      <c r="J14">
        <f>J13*J12</f>
        <v>61.275073109066959</v>
      </c>
    </row>
    <row r="15" spans="1:10" x14ac:dyDescent="0.3">
      <c r="A15" s="5">
        <v>42026</v>
      </c>
      <c r="B15" s="6">
        <v>4690.9301759999998</v>
      </c>
      <c r="C15" s="6">
        <v>4752.6000979999999</v>
      </c>
      <c r="D15" s="6">
        <v>4644.5698240000002</v>
      </c>
      <c r="E15" s="6">
        <v>4750.3999020000001</v>
      </c>
      <c r="F15" s="6">
        <v>4750.3999020000001</v>
      </c>
      <c r="G15" s="4">
        <v>1996550000</v>
      </c>
      <c r="H15">
        <f t="shared" si="0"/>
        <v>1.7622364618716805E-2</v>
      </c>
      <c r="I15">
        <f>I14-J14</f>
        <v>45.844953632644383</v>
      </c>
    </row>
    <row r="16" spans="1:10" x14ac:dyDescent="0.3">
      <c r="A16" s="5">
        <v>42027</v>
      </c>
      <c r="B16" s="6">
        <v>4748.1899409999996</v>
      </c>
      <c r="C16" s="6">
        <v>4771.1801759999998</v>
      </c>
      <c r="D16" s="6">
        <v>4737.9501950000003</v>
      </c>
      <c r="E16" s="6">
        <v>4757.8798829999996</v>
      </c>
      <c r="F16" s="6">
        <v>4757.8798829999996</v>
      </c>
      <c r="G16" s="4">
        <v>1653830000</v>
      </c>
      <c r="H16">
        <f t="shared" si="0"/>
        <v>1.5733618934599474E-3</v>
      </c>
      <c r="I16">
        <f>I15*1000</f>
        <v>45844.953632644385</v>
      </c>
    </row>
    <row r="17" spans="1:8" x14ac:dyDescent="0.3">
      <c r="A17" s="5">
        <v>42030</v>
      </c>
      <c r="B17" s="6">
        <v>4752.3598629999997</v>
      </c>
      <c r="C17" s="6">
        <v>4774.1801759999998</v>
      </c>
      <c r="D17" s="6">
        <v>4734.2001950000003</v>
      </c>
      <c r="E17" s="6">
        <v>4771.7597660000001</v>
      </c>
      <c r="F17" s="6">
        <v>4771.7597660000001</v>
      </c>
      <c r="G17" s="4">
        <v>1717510000</v>
      </c>
      <c r="H17">
        <f t="shared" si="0"/>
        <v>2.91299426338941E-3</v>
      </c>
    </row>
    <row r="18" spans="1:8" x14ac:dyDescent="0.3">
      <c r="A18" s="5">
        <v>42031</v>
      </c>
      <c r="B18" s="6">
        <v>4698.2299800000001</v>
      </c>
      <c r="C18" s="6">
        <v>4721.8701170000004</v>
      </c>
      <c r="D18" s="6">
        <v>4659.830078</v>
      </c>
      <c r="E18" s="6">
        <v>4681.5</v>
      </c>
      <c r="F18" s="6">
        <v>4681.5</v>
      </c>
      <c r="G18" s="4">
        <v>1954160000</v>
      </c>
      <c r="H18">
        <f t="shared" si="0"/>
        <v>-1.9096589157558994E-2</v>
      </c>
    </row>
    <row r="19" spans="1:8" x14ac:dyDescent="0.3">
      <c r="A19" s="5">
        <v>42032</v>
      </c>
      <c r="B19" s="6">
        <v>4740.6899409999996</v>
      </c>
      <c r="C19" s="6">
        <v>4742.0600590000004</v>
      </c>
      <c r="D19" s="6">
        <v>4637.4799800000001</v>
      </c>
      <c r="E19" s="6">
        <v>4637.9902339999999</v>
      </c>
      <c r="F19" s="6">
        <v>4637.9902339999999</v>
      </c>
      <c r="G19" s="4">
        <v>2118680000</v>
      </c>
      <c r="H19">
        <f t="shared" si="0"/>
        <v>-9.3374382146704012E-3</v>
      </c>
    </row>
    <row r="20" spans="1:8" x14ac:dyDescent="0.3">
      <c r="A20" s="5">
        <v>42033</v>
      </c>
      <c r="B20" s="6">
        <v>4635.7299800000001</v>
      </c>
      <c r="C20" s="6">
        <v>4688.4101559999999</v>
      </c>
      <c r="D20" s="6">
        <v>4601.7597660000001</v>
      </c>
      <c r="E20" s="6">
        <v>4683.4101559999999</v>
      </c>
      <c r="F20" s="6">
        <v>4683.4101559999999</v>
      </c>
      <c r="G20" s="4">
        <v>2110710000</v>
      </c>
      <c r="H20">
        <f t="shared" si="0"/>
        <v>9.7453772113441726E-3</v>
      </c>
    </row>
    <row r="21" spans="1:8" x14ac:dyDescent="0.3">
      <c r="A21" s="5">
        <v>42034</v>
      </c>
      <c r="B21" s="6">
        <v>4671.2099609999996</v>
      </c>
      <c r="C21" s="6">
        <v>4703.8100590000004</v>
      </c>
      <c r="D21" s="6">
        <v>4631.1000979999999</v>
      </c>
      <c r="E21" s="6">
        <v>4635.2402339999999</v>
      </c>
      <c r="F21" s="6">
        <v>4635.2402339999999</v>
      </c>
      <c r="G21" s="4">
        <v>2264230000</v>
      </c>
      <c r="H21">
        <f t="shared" si="0"/>
        <v>-1.0338482298100025E-2</v>
      </c>
    </row>
    <row r="22" spans="1:8" x14ac:dyDescent="0.3">
      <c r="A22" s="5">
        <v>42037</v>
      </c>
      <c r="B22" s="6">
        <v>4650.6000979999999</v>
      </c>
      <c r="C22" s="6">
        <v>4676.6899409999996</v>
      </c>
      <c r="D22" s="6">
        <v>4580.4599609999996</v>
      </c>
      <c r="E22" s="6">
        <v>4676.6899409999996</v>
      </c>
      <c r="F22" s="6">
        <v>4676.6899409999996</v>
      </c>
      <c r="G22" s="4">
        <v>2006450000</v>
      </c>
      <c r="H22">
        <f t="shared" si="0"/>
        <v>8.9025540312965765E-3</v>
      </c>
    </row>
    <row r="23" spans="1:8" x14ac:dyDescent="0.3">
      <c r="A23" s="5">
        <v>42038</v>
      </c>
      <c r="B23" s="6">
        <v>4693.25</v>
      </c>
      <c r="C23" s="6">
        <v>4727.7402339999999</v>
      </c>
      <c r="D23" s="6">
        <v>4670.8198240000002</v>
      </c>
      <c r="E23" s="6">
        <v>4727.7402339999999</v>
      </c>
      <c r="F23" s="6">
        <v>4727.7402339999999</v>
      </c>
      <c r="G23" s="4">
        <v>2153520000</v>
      </c>
      <c r="H23">
        <f t="shared" si="0"/>
        <v>1.0856754420372967E-2</v>
      </c>
    </row>
    <row r="24" spans="1:8" x14ac:dyDescent="0.3">
      <c r="A24" s="5">
        <v>42039</v>
      </c>
      <c r="B24" s="6">
        <v>4699.8100590000004</v>
      </c>
      <c r="C24" s="6">
        <v>4744.330078</v>
      </c>
      <c r="D24" s="6">
        <v>4697.7900390000004</v>
      </c>
      <c r="E24" s="6">
        <v>4716.7001950000003</v>
      </c>
      <c r="F24" s="6">
        <v>4716.7001950000003</v>
      </c>
      <c r="G24" s="4">
        <v>2212960000</v>
      </c>
      <c r="H24">
        <f t="shared" si="0"/>
        <v>-2.3378926706129457E-3</v>
      </c>
    </row>
    <row r="25" spans="1:8" x14ac:dyDescent="0.3">
      <c r="A25" s="5">
        <v>42040</v>
      </c>
      <c r="B25" s="6">
        <v>4729.6499020000001</v>
      </c>
      <c r="C25" s="6">
        <v>4767.3798829999996</v>
      </c>
      <c r="D25" s="6">
        <v>4722.7998049999997</v>
      </c>
      <c r="E25" s="6">
        <v>4765.1000979999999</v>
      </c>
      <c r="F25" s="6">
        <v>4765.1000979999999</v>
      </c>
      <c r="G25" s="4">
        <v>2036590000</v>
      </c>
      <c r="H25">
        <f t="shared" si="0"/>
        <v>1.0209099934584206E-2</v>
      </c>
    </row>
    <row r="26" spans="1:8" x14ac:dyDescent="0.3">
      <c r="A26" s="5">
        <v>42041</v>
      </c>
      <c r="B26" s="6">
        <v>4768.8398440000001</v>
      </c>
      <c r="C26" s="6">
        <v>4787.1801759999998</v>
      </c>
      <c r="D26" s="6">
        <v>4731.2202150000003</v>
      </c>
      <c r="E26" s="6">
        <v>4744.3999020000001</v>
      </c>
      <c r="F26" s="6">
        <v>4744.3999020000001</v>
      </c>
      <c r="G26" s="4">
        <v>2034060000</v>
      </c>
      <c r="H26">
        <f t="shared" si="0"/>
        <v>-4.3535892939691612E-3</v>
      </c>
    </row>
    <row r="27" spans="1:8" x14ac:dyDescent="0.3">
      <c r="A27" s="5">
        <v>42044</v>
      </c>
      <c r="B27" s="6">
        <v>4723.7299800000001</v>
      </c>
      <c r="C27" s="6">
        <v>4749.4702150000003</v>
      </c>
      <c r="D27" s="6">
        <v>4719.6098629999997</v>
      </c>
      <c r="E27" s="6">
        <v>4726.0097660000001</v>
      </c>
      <c r="F27" s="6">
        <v>4726.0097660000001</v>
      </c>
      <c r="G27" s="4">
        <v>1654680000</v>
      </c>
      <c r="H27">
        <f t="shared" si="0"/>
        <v>-3.8837093135063385E-3</v>
      </c>
    </row>
    <row r="28" spans="1:8" x14ac:dyDescent="0.3">
      <c r="A28" s="5">
        <v>42045</v>
      </c>
      <c r="B28" s="6">
        <v>4754.6298829999996</v>
      </c>
      <c r="C28" s="6">
        <v>4793.2700199999999</v>
      </c>
      <c r="D28" s="6">
        <v>4737.1201170000004</v>
      </c>
      <c r="E28" s="6">
        <v>4787.6401370000003</v>
      </c>
      <c r="F28" s="6">
        <v>4787.6401370000003</v>
      </c>
      <c r="G28" s="4">
        <v>1773730000</v>
      </c>
      <c r="H28">
        <f t="shared" si="0"/>
        <v>1.2956380310849688E-2</v>
      </c>
    </row>
    <row r="29" spans="1:8" x14ac:dyDescent="0.3">
      <c r="A29" s="5">
        <v>42046</v>
      </c>
      <c r="B29" s="6">
        <v>4788.3701170000004</v>
      </c>
      <c r="C29" s="6">
        <v>4810.3598629999997</v>
      </c>
      <c r="D29" s="6">
        <v>4780.1298829999996</v>
      </c>
      <c r="E29" s="6">
        <v>4801.1801759999998</v>
      </c>
      <c r="F29" s="6">
        <v>4801.1801759999998</v>
      </c>
      <c r="G29" s="4">
        <v>1793630000</v>
      </c>
      <c r="H29">
        <f t="shared" si="0"/>
        <v>2.8241321783747117E-3</v>
      </c>
    </row>
    <row r="30" spans="1:8" x14ac:dyDescent="0.3">
      <c r="A30" s="5">
        <v>42047</v>
      </c>
      <c r="B30" s="6">
        <v>4828.080078</v>
      </c>
      <c r="C30" s="6">
        <v>4857.6098629999997</v>
      </c>
      <c r="D30" s="6">
        <v>4823.5698240000002</v>
      </c>
      <c r="E30" s="6">
        <v>4857.6098629999997</v>
      </c>
      <c r="F30" s="6">
        <v>4857.6098629999997</v>
      </c>
      <c r="G30" s="4">
        <v>2075470000</v>
      </c>
      <c r="H30">
        <f t="shared" si="0"/>
        <v>1.1684761510835364E-2</v>
      </c>
    </row>
    <row r="31" spans="1:8" x14ac:dyDescent="0.3">
      <c r="A31" s="5">
        <v>42048</v>
      </c>
      <c r="B31" s="6">
        <v>4869.7299800000001</v>
      </c>
      <c r="C31" s="6">
        <v>4893.8398440000001</v>
      </c>
      <c r="D31" s="6">
        <v>4860.1201170000004</v>
      </c>
      <c r="E31" s="6">
        <v>4893.8398440000001</v>
      </c>
      <c r="F31" s="6">
        <v>4893.8398440000001</v>
      </c>
      <c r="G31" s="4">
        <v>1942240000</v>
      </c>
      <c r="H31">
        <f t="shared" si="0"/>
        <v>7.4307203120505096E-3</v>
      </c>
    </row>
    <row r="32" spans="1:8" x14ac:dyDescent="0.3">
      <c r="A32" s="5">
        <v>42052</v>
      </c>
      <c r="B32" s="6">
        <v>4889.9902339999999</v>
      </c>
      <c r="C32" s="6">
        <v>4901.8901370000003</v>
      </c>
      <c r="D32" s="6">
        <v>4880.6401370000003</v>
      </c>
      <c r="E32" s="6">
        <v>4899.2700199999999</v>
      </c>
      <c r="F32" s="6">
        <v>4899.2700199999999</v>
      </c>
      <c r="G32" s="4">
        <v>1751490000</v>
      </c>
      <c r="H32">
        <f t="shared" si="0"/>
        <v>1.1089789927670299E-3</v>
      </c>
    </row>
    <row r="33" spans="1:8" x14ac:dyDescent="0.3">
      <c r="A33" s="5">
        <v>42053</v>
      </c>
      <c r="B33" s="6">
        <v>4890.8398440000001</v>
      </c>
      <c r="C33" s="6">
        <v>4907.5</v>
      </c>
      <c r="D33" s="6">
        <v>4885.6000979999999</v>
      </c>
      <c r="E33" s="6">
        <v>4906.3598629999997</v>
      </c>
      <c r="F33" s="6">
        <v>4906.3598629999997</v>
      </c>
      <c r="G33" s="4">
        <v>1684800000</v>
      </c>
      <c r="H33">
        <f t="shared" si="0"/>
        <v>1.4460762480496274E-3</v>
      </c>
    </row>
    <row r="34" spans="1:8" x14ac:dyDescent="0.3">
      <c r="A34" s="5">
        <v>42054</v>
      </c>
      <c r="B34" s="6">
        <v>4901.5097660000001</v>
      </c>
      <c r="C34" s="6">
        <v>4929.5297849999997</v>
      </c>
      <c r="D34" s="6">
        <v>4900.6298829999996</v>
      </c>
      <c r="E34" s="6">
        <v>4924.7001950000003</v>
      </c>
      <c r="F34" s="6">
        <v>4924.7001950000003</v>
      </c>
      <c r="G34" s="4">
        <v>1592890000</v>
      </c>
      <c r="H34">
        <f t="shared" si="0"/>
        <v>3.7311039030003897E-3</v>
      </c>
    </row>
    <row r="35" spans="1:8" x14ac:dyDescent="0.3">
      <c r="A35" s="5">
        <v>42055</v>
      </c>
      <c r="B35" s="6">
        <v>4919.7797849999997</v>
      </c>
      <c r="C35" s="6">
        <v>4957.0200199999999</v>
      </c>
      <c r="D35" s="6">
        <v>4905.5898440000001</v>
      </c>
      <c r="E35" s="6">
        <v>4955.9702150000003</v>
      </c>
      <c r="F35" s="6">
        <v>4955.9702150000003</v>
      </c>
      <c r="G35" s="4">
        <v>1761140000</v>
      </c>
      <c r="H35">
        <f t="shared" si="0"/>
        <v>6.3295552023578663E-3</v>
      </c>
    </row>
    <row r="36" spans="1:8" x14ac:dyDescent="0.3">
      <c r="A36" s="5">
        <v>42058</v>
      </c>
      <c r="B36" s="6">
        <v>4953.1000979999999</v>
      </c>
      <c r="C36" s="6">
        <v>4960.9702150000003</v>
      </c>
      <c r="D36" s="6">
        <v>4939.5600590000004</v>
      </c>
      <c r="E36" s="6">
        <v>4960.9702150000003</v>
      </c>
      <c r="F36" s="6">
        <v>4960.9702150000003</v>
      </c>
      <c r="G36" s="4">
        <v>1754850000</v>
      </c>
      <c r="H36">
        <f t="shared" si="0"/>
        <v>1.0083756091849175E-3</v>
      </c>
    </row>
    <row r="37" spans="1:8" x14ac:dyDescent="0.3">
      <c r="A37" s="5">
        <v>42059</v>
      </c>
      <c r="B37" s="6">
        <v>4956.2099609999996</v>
      </c>
      <c r="C37" s="6">
        <v>4971.1801759999998</v>
      </c>
      <c r="D37" s="6">
        <v>4945.1401370000003</v>
      </c>
      <c r="E37" s="6">
        <v>4968.1201170000004</v>
      </c>
      <c r="F37" s="6">
        <v>4968.1201170000004</v>
      </c>
      <c r="G37" s="4">
        <v>1834890000</v>
      </c>
      <c r="H37">
        <f t="shared" si="0"/>
        <v>1.4401930079719527E-3</v>
      </c>
    </row>
    <row r="38" spans="1:8" x14ac:dyDescent="0.3">
      <c r="A38" s="5">
        <v>42060</v>
      </c>
      <c r="B38" s="6">
        <v>4960.3598629999997</v>
      </c>
      <c r="C38" s="6">
        <v>4984.2402339999999</v>
      </c>
      <c r="D38" s="6">
        <v>4956</v>
      </c>
      <c r="E38" s="6">
        <v>4967.1401370000003</v>
      </c>
      <c r="F38" s="6">
        <v>4967.1401370000003</v>
      </c>
      <c r="G38" s="4">
        <v>1848560000</v>
      </c>
      <c r="H38">
        <f t="shared" si="0"/>
        <v>-1.9727314194589957E-4</v>
      </c>
    </row>
    <row r="39" spans="1:8" x14ac:dyDescent="0.3">
      <c r="A39" s="5">
        <v>42061</v>
      </c>
      <c r="B39" s="6">
        <v>4969.2700199999999</v>
      </c>
      <c r="C39" s="6">
        <v>4989.1098629999997</v>
      </c>
      <c r="D39" s="6">
        <v>4955.5097660000001</v>
      </c>
      <c r="E39" s="6">
        <v>4987.8901370000003</v>
      </c>
      <c r="F39" s="6">
        <v>4987.8901370000003</v>
      </c>
      <c r="G39" s="4">
        <v>1905550000</v>
      </c>
      <c r="H39">
        <f t="shared" si="0"/>
        <v>4.1687527770773794E-3</v>
      </c>
    </row>
    <row r="40" spans="1:8" x14ac:dyDescent="0.3">
      <c r="A40" s="5">
        <v>42062</v>
      </c>
      <c r="B40" s="6">
        <v>4985.0297849999997</v>
      </c>
      <c r="C40" s="6">
        <v>4989.25</v>
      </c>
      <c r="D40" s="6">
        <v>4960.8701170000004</v>
      </c>
      <c r="E40" s="6">
        <v>4963.5297849999997</v>
      </c>
      <c r="F40" s="6">
        <v>4963.5297849999997</v>
      </c>
      <c r="G40" s="4">
        <v>1955590000</v>
      </c>
      <c r="H40">
        <f t="shared" si="0"/>
        <v>-4.8958642786018037E-3</v>
      </c>
    </row>
    <row r="41" spans="1:8" x14ac:dyDescent="0.3">
      <c r="A41" s="5">
        <v>42065</v>
      </c>
      <c r="B41" s="6">
        <v>4973.4301759999998</v>
      </c>
      <c r="C41" s="6">
        <v>5008.5698240000002</v>
      </c>
      <c r="D41" s="6">
        <v>4972.0097660000001</v>
      </c>
      <c r="E41" s="6">
        <v>5008.1000979999999</v>
      </c>
      <c r="F41" s="6">
        <v>5008.1000979999999</v>
      </c>
      <c r="G41" s="4">
        <v>1931110000</v>
      </c>
      <c r="H41">
        <f t="shared" si="0"/>
        <v>8.9394833823382269E-3</v>
      </c>
    </row>
    <row r="42" spans="1:8" x14ac:dyDescent="0.3">
      <c r="A42" s="5">
        <v>42066</v>
      </c>
      <c r="B42" s="6">
        <v>4990.7001950000003</v>
      </c>
      <c r="C42" s="6">
        <v>4996.6601559999999</v>
      </c>
      <c r="D42" s="6">
        <v>4956.0698240000002</v>
      </c>
      <c r="E42" s="6">
        <v>4979.8999020000001</v>
      </c>
      <c r="F42" s="6">
        <v>4979.8999020000001</v>
      </c>
      <c r="G42" s="4">
        <v>2018900000</v>
      </c>
      <c r="H42">
        <f t="shared" si="0"/>
        <v>-5.646830383301998E-3</v>
      </c>
    </row>
    <row r="43" spans="1:8" x14ac:dyDescent="0.3">
      <c r="A43" s="5">
        <v>42067</v>
      </c>
      <c r="B43" s="6">
        <v>4961.2402339999999</v>
      </c>
      <c r="C43" s="6">
        <v>4973.3198240000002</v>
      </c>
      <c r="D43" s="6">
        <v>4938.8999020000001</v>
      </c>
      <c r="E43" s="6">
        <v>4967.1401370000003</v>
      </c>
      <c r="F43" s="6">
        <v>4967.1401370000003</v>
      </c>
      <c r="G43" s="4">
        <v>1824830000</v>
      </c>
      <c r="H43">
        <f t="shared" si="0"/>
        <v>-2.5655414975118713E-3</v>
      </c>
    </row>
    <row r="44" spans="1:8" x14ac:dyDescent="0.3">
      <c r="A44" s="5">
        <v>42068</v>
      </c>
      <c r="B44" s="6">
        <v>4979.9501950000003</v>
      </c>
      <c r="C44" s="6">
        <v>4993.5200199999999</v>
      </c>
      <c r="D44" s="6">
        <v>4963.1000979999999</v>
      </c>
      <c r="E44" s="6">
        <v>4982.8100590000004</v>
      </c>
      <c r="F44" s="6">
        <v>4982.8100590000004</v>
      </c>
      <c r="G44" s="4">
        <v>1724200000</v>
      </c>
      <c r="H44">
        <f t="shared" si="0"/>
        <v>3.1497514352020152E-3</v>
      </c>
    </row>
    <row r="45" spans="1:8" x14ac:dyDescent="0.3">
      <c r="A45" s="5">
        <v>42069</v>
      </c>
      <c r="B45" s="6">
        <v>4967.2402339999999</v>
      </c>
      <c r="C45" s="6">
        <v>4982.9301759999998</v>
      </c>
      <c r="D45" s="6">
        <v>4918.6298829999996</v>
      </c>
      <c r="E45" s="6">
        <v>4927.3701170000004</v>
      </c>
      <c r="F45" s="6">
        <v>4927.3701170000004</v>
      </c>
      <c r="G45" s="4">
        <v>1918220000</v>
      </c>
      <c r="H45">
        <f t="shared" si="0"/>
        <v>-1.1188599877543283E-2</v>
      </c>
    </row>
    <row r="46" spans="1:8" x14ac:dyDescent="0.3">
      <c r="A46" s="5">
        <v>42072</v>
      </c>
      <c r="B46" s="6">
        <v>4936.080078</v>
      </c>
      <c r="C46" s="6">
        <v>4950.4702150000003</v>
      </c>
      <c r="D46" s="6">
        <v>4920.8198240000002</v>
      </c>
      <c r="E46" s="6">
        <v>4942.4399409999996</v>
      </c>
      <c r="F46" s="6">
        <v>4942.4399409999996</v>
      </c>
      <c r="G46" s="4">
        <v>1696510000</v>
      </c>
      <c r="H46">
        <f t="shared" si="0"/>
        <v>3.0537235513619404E-3</v>
      </c>
    </row>
    <row r="47" spans="1:8" x14ac:dyDescent="0.3">
      <c r="A47" s="5">
        <v>42073</v>
      </c>
      <c r="B47" s="6">
        <v>4899.5097660000001</v>
      </c>
      <c r="C47" s="6">
        <v>4903.4399409999996</v>
      </c>
      <c r="D47" s="6">
        <v>4859.7900390000004</v>
      </c>
      <c r="E47" s="6">
        <v>4859.7900390000004</v>
      </c>
      <c r="F47" s="6">
        <v>4859.7900390000004</v>
      </c>
      <c r="G47" s="4">
        <v>1876010000</v>
      </c>
      <c r="H47">
        <f t="shared" si="0"/>
        <v>-1.6863889318738959E-2</v>
      </c>
    </row>
    <row r="48" spans="1:8" x14ac:dyDescent="0.3">
      <c r="A48" s="5">
        <v>42074</v>
      </c>
      <c r="B48" s="6">
        <v>4866.9399409999996</v>
      </c>
      <c r="C48" s="6">
        <v>4876.0898440000001</v>
      </c>
      <c r="D48" s="6">
        <v>4846.7900390000004</v>
      </c>
      <c r="E48" s="6">
        <v>4849.9399409999996</v>
      </c>
      <c r="F48" s="6">
        <v>4849.9399409999996</v>
      </c>
      <c r="G48" s="4">
        <v>1846020000</v>
      </c>
      <c r="H48">
        <f t="shared" si="0"/>
        <v>-2.0289135535747974E-3</v>
      </c>
    </row>
    <row r="49" spans="1:8" x14ac:dyDescent="0.3">
      <c r="A49" s="5">
        <v>42075</v>
      </c>
      <c r="B49" s="6">
        <v>4853.9799800000001</v>
      </c>
      <c r="C49" s="6">
        <v>4895.7998049999997</v>
      </c>
      <c r="D49" s="6">
        <v>4853.2001950000003</v>
      </c>
      <c r="E49" s="6">
        <v>4893.2900390000004</v>
      </c>
      <c r="F49" s="6">
        <v>4893.2900390000004</v>
      </c>
      <c r="G49" s="4">
        <v>1855110000</v>
      </c>
      <c r="H49">
        <f t="shared" si="0"/>
        <v>8.8985652895666265E-3</v>
      </c>
    </row>
    <row r="50" spans="1:8" x14ac:dyDescent="0.3">
      <c r="A50" s="5">
        <v>42076</v>
      </c>
      <c r="B50" s="6">
        <v>4885.5400390000004</v>
      </c>
      <c r="C50" s="6">
        <v>4904.4702150000003</v>
      </c>
      <c r="D50" s="6">
        <v>4842.7998049999997</v>
      </c>
      <c r="E50" s="6">
        <v>4871.7597660000001</v>
      </c>
      <c r="F50" s="6">
        <v>4871.7597660000001</v>
      </c>
      <c r="G50" s="4">
        <v>1851410000</v>
      </c>
      <c r="H50">
        <f t="shared" si="0"/>
        <v>-4.4096667847546098E-3</v>
      </c>
    </row>
    <row r="51" spans="1:8" x14ac:dyDescent="0.3">
      <c r="A51" s="5">
        <v>42079</v>
      </c>
      <c r="B51" s="6">
        <v>4897.2700199999999</v>
      </c>
      <c r="C51" s="6">
        <v>4929.9399409999996</v>
      </c>
      <c r="D51" s="6">
        <v>4889.0898440000001</v>
      </c>
      <c r="E51" s="6">
        <v>4929.5097660000001</v>
      </c>
      <c r="F51" s="6">
        <v>4929.5097660000001</v>
      </c>
      <c r="G51" s="4">
        <v>1713480000</v>
      </c>
      <c r="H51">
        <f t="shared" si="0"/>
        <v>1.1784324086424712E-2</v>
      </c>
    </row>
    <row r="52" spans="1:8" x14ac:dyDescent="0.3">
      <c r="A52" s="5">
        <v>42080</v>
      </c>
      <c r="B52" s="6">
        <v>4912.6499020000001</v>
      </c>
      <c r="C52" s="6">
        <v>4944.9101559999999</v>
      </c>
      <c r="D52" s="6">
        <v>4907.0200199999999</v>
      </c>
      <c r="E52" s="6">
        <v>4937.4301759999998</v>
      </c>
      <c r="F52" s="6">
        <v>4937.4301759999998</v>
      </c>
      <c r="G52" s="4">
        <v>1724370000</v>
      </c>
      <c r="H52">
        <f t="shared" si="0"/>
        <v>1.6054443926411897E-3</v>
      </c>
    </row>
    <row r="53" spans="1:8" x14ac:dyDescent="0.3">
      <c r="A53" s="5">
        <v>42081</v>
      </c>
      <c r="B53" s="6">
        <v>4926.830078</v>
      </c>
      <c r="C53" s="6">
        <v>5001.5698240000002</v>
      </c>
      <c r="D53" s="6">
        <v>4907.7202150000003</v>
      </c>
      <c r="E53" s="6">
        <v>4982.830078</v>
      </c>
      <c r="F53" s="6">
        <v>4982.830078</v>
      </c>
      <c r="G53" s="4">
        <v>1983570000</v>
      </c>
      <c r="H53">
        <f t="shared" si="0"/>
        <v>9.1530298190507786E-3</v>
      </c>
    </row>
    <row r="54" spans="1:8" x14ac:dyDescent="0.3">
      <c r="A54" s="5">
        <v>42082</v>
      </c>
      <c r="B54" s="6">
        <v>4982.0200199999999</v>
      </c>
      <c r="C54" s="6">
        <v>5000.0200199999999</v>
      </c>
      <c r="D54" s="6">
        <v>4979.9399409999996</v>
      </c>
      <c r="E54" s="6">
        <v>4992.3798829999996</v>
      </c>
      <c r="F54" s="6">
        <v>4992.3798829999996</v>
      </c>
      <c r="G54" s="4">
        <v>1674970000</v>
      </c>
      <c r="H54">
        <f t="shared" si="0"/>
        <v>1.914708152487443E-3</v>
      </c>
    </row>
    <row r="55" spans="1:8" x14ac:dyDescent="0.3">
      <c r="A55" s="5">
        <v>42083</v>
      </c>
      <c r="B55" s="6">
        <v>5033.4702150000003</v>
      </c>
      <c r="C55" s="6">
        <v>5042.1401370000003</v>
      </c>
      <c r="D55" s="6">
        <v>5020.0698240000002</v>
      </c>
      <c r="E55" s="6">
        <v>5026.419922</v>
      </c>
      <c r="F55" s="6">
        <v>5026.419922</v>
      </c>
      <c r="G55" s="4">
        <v>2825670000</v>
      </c>
      <c r="H55">
        <f t="shared" si="0"/>
        <v>6.7952590424438181E-3</v>
      </c>
    </row>
    <row r="56" spans="1:8" x14ac:dyDescent="0.3">
      <c r="A56" s="5">
        <v>42086</v>
      </c>
      <c r="B56" s="6">
        <v>5020.6000979999999</v>
      </c>
      <c r="C56" s="6">
        <v>5031.3901370000003</v>
      </c>
      <c r="D56" s="6">
        <v>5010.9702150000003</v>
      </c>
      <c r="E56" s="6">
        <v>5010.9702150000003</v>
      </c>
      <c r="F56" s="6">
        <v>5010.9702150000003</v>
      </c>
      <c r="G56" s="4">
        <v>1608880000</v>
      </c>
      <c r="H56">
        <f t="shared" si="0"/>
        <v>-3.0784335350550864E-3</v>
      </c>
    </row>
    <row r="57" spans="1:8" x14ac:dyDescent="0.3">
      <c r="A57" s="5">
        <v>42087</v>
      </c>
      <c r="B57" s="6">
        <v>5010.1000979999999</v>
      </c>
      <c r="C57" s="6">
        <v>5032.4799800000001</v>
      </c>
      <c r="D57" s="6">
        <v>4994.5600590000004</v>
      </c>
      <c r="E57" s="6">
        <v>4994.7299800000001</v>
      </c>
      <c r="F57" s="6">
        <v>4994.7299800000001</v>
      </c>
      <c r="G57" s="4">
        <v>1611670000</v>
      </c>
      <c r="H57">
        <f t="shared" si="0"/>
        <v>-3.2461994552845258E-3</v>
      </c>
    </row>
    <row r="58" spans="1:8" x14ac:dyDescent="0.3">
      <c r="A58" s="5">
        <v>42088</v>
      </c>
      <c r="B58" s="6">
        <v>5002.830078</v>
      </c>
      <c r="C58" s="6">
        <v>5006.7597660000001</v>
      </c>
      <c r="D58" s="6">
        <v>4876.5200199999999</v>
      </c>
      <c r="E58" s="6">
        <v>4876.5200199999999</v>
      </c>
      <c r="F58" s="6">
        <v>4876.5200199999999</v>
      </c>
      <c r="G58" s="4">
        <v>2219520000</v>
      </c>
      <c r="H58">
        <f t="shared" si="0"/>
        <v>-2.3951497756298231E-2</v>
      </c>
    </row>
    <row r="59" spans="1:8" x14ac:dyDescent="0.3">
      <c r="A59" s="5">
        <v>42089</v>
      </c>
      <c r="B59" s="6">
        <v>4835.7099609999996</v>
      </c>
      <c r="C59" s="6">
        <v>4889.2099609999996</v>
      </c>
      <c r="D59" s="6">
        <v>4825.9301759999998</v>
      </c>
      <c r="E59" s="6">
        <v>4863.3598629999997</v>
      </c>
      <c r="F59" s="6">
        <v>4863.3598629999997</v>
      </c>
      <c r="G59" s="4">
        <v>2004960000</v>
      </c>
      <c r="H59">
        <f t="shared" si="0"/>
        <v>-2.7023259355682268E-3</v>
      </c>
    </row>
    <row r="60" spans="1:8" x14ac:dyDescent="0.3">
      <c r="A60" s="5">
        <v>42090</v>
      </c>
      <c r="B60" s="6">
        <v>4863.7402339999999</v>
      </c>
      <c r="C60" s="6">
        <v>4899.2597660000001</v>
      </c>
      <c r="D60" s="6">
        <v>4859.6601559999999</v>
      </c>
      <c r="E60" s="6">
        <v>4891.2202150000003</v>
      </c>
      <c r="F60" s="6">
        <v>4891.2202150000003</v>
      </c>
      <c r="G60" s="4">
        <v>1678650000</v>
      </c>
      <c r="H60">
        <f t="shared" si="0"/>
        <v>5.7122761891032292E-3</v>
      </c>
    </row>
    <row r="61" spans="1:8" x14ac:dyDescent="0.3">
      <c r="A61" s="5">
        <v>42093</v>
      </c>
      <c r="B61" s="6">
        <v>4921.7797849999997</v>
      </c>
      <c r="C61" s="6">
        <v>4948.4599609999996</v>
      </c>
      <c r="D61" s="6">
        <v>4921.1201170000004</v>
      </c>
      <c r="E61" s="6">
        <v>4947.4399409999996</v>
      </c>
      <c r="F61" s="6">
        <v>4947.4399409999996</v>
      </c>
      <c r="G61" s="4">
        <v>1778520000</v>
      </c>
      <c r="H61">
        <f t="shared" si="0"/>
        <v>1.1428454080142319E-2</v>
      </c>
    </row>
    <row r="62" spans="1:8" x14ac:dyDescent="0.3">
      <c r="A62" s="5">
        <v>42094</v>
      </c>
      <c r="B62" s="6">
        <v>4925.9101559999999</v>
      </c>
      <c r="C62" s="6">
        <v>4940.8701170000004</v>
      </c>
      <c r="D62" s="6">
        <v>4899.3100590000004</v>
      </c>
      <c r="E62" s="6">
        <v>4900.8798829999996</v>
      </c>
      <c r="F62" s="6">
        <v>4900.8798829999996</v>
      </c>
      <c r="G62" s="4">
        <v>1837660000</v>
      </c>
      <c r="H62">
        <f t="shared" si="0"/>
        <v>-9.4555022032802357E-3</v>
      </c>
    </row>
    <row r="63" spans="1:8" x14ac:dyDescent="0.3">
      <c r="A63" s="5">
        <v>42095</v>
      </c>
      <c r="B63" s="6">
        <v>4894.3598629999997</v>
      </c>
      <c r="C63" s="6">
        <v>4899.3798829999996</v>
      </c>
      <c r="D63" s="6">
        <v>4844.3901370000003</v>
      </c>
      <c r="E63" s="6">
        <v>4880.2299800000001</v>
      </c>
      <c r="F63" s="6">
        <v>4880.2299800000001</v>
      </c>
      <c r="G63" s="4">
        <v>1874960000</v>
      </c>
      <c r="H63">
        <f t="shared" si="0"/>
        <v>-4.2224111515766407E-3</v>
      </c>
    </row>
    <row r="64" spans="1:8" x14ac:dyDescent="0.3">
      <c r="A64" s="5">
        <v>42096</v>
      </c>
      <c r="B64" s="6">
        <v>4885.4101559999999</v>
      </c>
      <c r="C64" s="6">
        <v>4901.330078</v>
      </c>
      <c r="D64" s="6">
        <v>4872.9599609999996</v>
      </c>
      <c r="E64" s="6">
        <v>4886.9399409999996</v>
      </c>
      <c r="F64" s="6">
        <v>4886.9399409999996</v>
      </c>
      <c r="G64" s="4">
        <v>1563670000</v>
      </c>
      <c r="H64">
        <f t="shared" si="0"/>
        <v>1.3739828650216762E-3</v>
      </c>
    </row>
    <row r="65" spans="1:8" x14ac:dyDescent="0.3">
      <c r="A65" s="5">
        <v>42100</v>
      </c>
      <c r="B65" s="6">
        <v>4855.9399409999996</v>
      </c>
      <c r="C65" s="6">
        <v>4929.6201170000004</v>
      </c>
      <c r="D65" s="6">
        <v>4852.9101559999999</v>
      </c>
      <c r="E65" s="6">
        <v>4917.3198240000002</v>
      </c>
      <c r="F65" s="6">
        <v>4917.3198240000002</v>
      </c>
      <c r="G65" s="4">
        <v>1737560000</v>
      </c>
      <c r="H65">
        <f t="shared" si="0"/>
        <v>6.1973021850379615E-3</v>
      </c>
    </row>
    <row r="66" spans="1:8" x14ac:dyDescent="0.3">
      <c r="A66" s="5">
        <v>42101</v>
      </c>
      <c r="B66" s="6">
        <v>4917.5</v>
      </c>
      <c r="C66" s="6">
        <v>4948.8798829999996</v>
      </c>
      <c r="D66" s="6">
        <v>4909.7700199999999</v>
      </c>
      <c r="E66" s="6">
        <v>4910.2299800000001</v>
      </c>
      <c r="F66" s="6">
        <v>4910.2299800000001</v>
      </c>
      <c r="G66" s="4">
        <v>1572940000</v>
      </c>
      <c r="H66">
        <f t="shared" si="0"/>
        <v>-1.4428510404689426E-3</v>
      </c>
    </row>
    <row r="67" spans="1:8" x14ac:dyDescent="0.3">
      <c r="A67" s="5">
        <v>42102</v>
      </c>
      <c r="B67" s="6">
        <v>4914.1499020000001</v>
      </c>
      <c r="C67" s="6">
        <v>4956.7202150000003</v>
      </c>
      <c r="D67" s="6">
        <v>4914.1499020000001</v>
      </c>
      <c r="E67" s="6">
        <v>4950.8198240000002</v>
      </c>
      <c r="F67" s="6">
        <v>4950.8198240000002</v>
      </c>
      <c r="G67" s="4">
        <v>1714210000</v>
      </c>
      <c r="H67">
        <f t="shared" si="0"/>
        <v>8.2324040636723907E-3</v>
      </c>
    </row>
    <row r="68" spans="1:8" x14ac:dyDescent="0.3">
      <c r="A68" s="5">
        <v>42103</v>
      </c>
      <c r="B68" s="6">
        <v>4950.8398440000001</v>
      </c>
      <c r="C68" s="6">
        <v>4975.9301759999998</v>
      </c>
      <c r="D68" s="6">
        <v>4928.1098629999997</v>
      </c>
      <c r="E68" s="6">
        <v>4974.5600590000004</v>
      </c>
      <c r="F68" s="6">
        <v>4974.5600590000004</v>
      </c>
      <c r="G68" s="4">
        <v>1729750000</v>
      </c>
      <c r="H68">
        <f t="shared" ref="H68:H131" si="1">LN(E68/E67)</f>
        <v>4.7837524715486157E-3</v>
      </c>
    </row>
    <row r="69" spans="1:8" x14ac:dyDescent="0.3">
      <c r="A69" s="5">
        <v>42104</v>
      </c>
      <c r="B69" s="6">
        <v>4977.0297849999997</v>
      </c>
      <c r="C69" s="6">
        <v>4996.080078</v>
      </c>
      <c r="D69" s="6">
        <v>4970.0200199999999</v>
      </c>
      <c r="E69" s="6">
        <v>4995.9799800000001</v>
      </c>
      <c r="F69" s="6">
        <v>4995.9799800000001</v>
      </c>
      <c r="G69" s="4">
        <v>1494240000</v>
      </c>
      <c r="H69">
        <f t="shared" si="1"/>
        <v>4.2966487009344087E-3</v>
      </c>
    </row>
    <row r="70" spans="1:8" x14ac:dyDescent="0.3">
      <c r="A70" s="5">
        <v>42107</v>
      </c>
      <c r="B70" s="6">
        <v>5001.5498049999997</v>
      </c>
      <c r="C70" s="6">
        <v>5024.25</v>
      </c>
      <c r="D70" s="6">
        <v>4985.9599609999996</v>
      </c>
      <c r="E70" s="6">
        <v>4988.25</v>
      </c>
      <c r="F70" s="6">
        <v>4988.25</v>
      </c>
      <c r="G70" s="4">
        <v>1544190000</v>
      </c>
      <c r="H70">
        <f t="shared" si="1"/>
        <v>-1.5484381990346456E-3</v>
      </c>
    </row>
    <row r="71" spans="1:8" x14ac:dyDescent="0.3">
      <c r="A71" s="5">
        <v>42108</v>
      </c>
      <c r="B71" s="6">
        <v>4988.8198240000002</v>
      </c>
      <c r="C71" s="6">
        <v>4996.8198240000002</v>
      </c>
      <c r="D71" s="6">
        <v>4952.0097660000001</v>
      </c>
      <c r="E71" s="6">
        <v>4977.2900390000004</v>
      </c>
      <c r="F71" s="6">
        <v>4977.2900390000004</v>
      </c>
      <c r="G71" s="4">
        <v>1571360000</v>
      </c>
      <c r="H71">
        <f t="shared" si="1"/>
        <v>-2.1995728030611032E-3</v>
      </c>
    </row>
    <row r="72" spans="1:8" x14ac:dyDescent="0.3">
      <c r="A72" s="5">
        <v>42109</v>
      </c>
      <c r="B72" s="6">
        <v>4992.6201170000004</v>
      </c>
      <c r="C72" s="6">
        <v>5021.1899409999996</v>
      </c>
      <c r="D72" s="6">
        <v>4989.2402339999999</v>
      </c>
      <c r="E72" s="6">
        <v>5011.0200199999999</v>
      </c>
      <c r="F72" s="6">
        <v>5011.0200199999999</v>
      </c>
      <c r="G72" s="4">
        <v>1795530000</v>
      </c>
      <c r="H72">
        <f t="shared" si="1"/>
        <v>6.7539171327015111E-3</v>
      </c>
    </row>
    <row r="73" spans="1:8" x14ac:dyDescent="0.3">
      <c r="A73" s="5">
        <v>42110</v>
      </c>
      <c r="B73" s="6">
        <v>4999.3598629999997</v>
      </c>
      <c r="C73" s="6">
        <v>5016</v>
      </c>
      <c r="D73" s="6">
        <v>4996</v>
      </c>
      <c r="E73" s="6">
        <v>5007.7900390000004</v>
      </c>
      <c r="F73" s="6">
        <v>5007.7900390000004</v>
      </c>
      <c r="G73" s="4">
        <v>1662850000</v>
      </c>
      <c r="H73">
        <f t="shared" si="1"/>
        <v>-6.4478338103677007E-4</v>
      </c>
    </row>
    <row r="74" spans="1:8" x14ac:dyDescent="0.3">
      <c r="A74" s="5">
        <v>42111</v>
      </c>
      <c r="B74" s="6">
        <v>4966.1098629999997</v>
      </c>
      <c r="C74" s="6">
        <v>4974.0898440000001</v>
      </c>
      <c r="D74" s="6">
        <v>4912.330078</v>
      </c>
      <c r="E74" s="6">
        <v>4931.8100590000004</v>
      </c>
      <c r="F74" s="6">
        <v>4931.8100590000004</v>
      </c>
      <c r="G74" s="4">
        <v>1985190000</v>
      </c>
      <c r="H74">
        <f t="shared" si="1"/>
        <v>-1.5288635201306093E-2</v>
      </c>
    </row>
    <row r="75" spans="1:8" x14ac:dyDescent="0.3">
      <c r="A75" s="5">
        <v>42114</v>
      </c>
      <c r="B75" s="6">
        <v>4958.0698240000002</v>
      </c>
      <c r="C75" s="6">
        <v>5000.2001950000003</v>
      </c>
      <c r="D75" s="6">
        <v>4952.6801759999998</v>
      </c>
      <c r="E75" s="6">
        <v>4994.6000979999999</v>
      </c>
      <c r="F75" s="6">
        <v>4994.6000979999999</v>
      </c>
      <c r="G75" s="4">
        <v>1646340000</v>
      </c>
      <c r="H75">
        <f t="shared" si="1"/>
        <v>1.2651275837245929E-2</v>
      </c>
    </row>
    <row r="76" spans="1:8" x14ac:dyDescent="0.3">
      <c r="A76" s="5">
        <v>42115</v>
      </c>
      <c r="B76" s="6">
        <v>5023.9599609999996</v>
      </c>
      <c r="C76" s="6">
        <v>5028.2202150000003</v>
      </c>
      <c r="D76" s="6">
        <v>5009.5097660000001</v>
      </c>
      <c r="E76" s="6">
        <v>5014.1000979999999</v>
      </c>
      <c r="F76" s="6">
        <v>5014.1000979999999</v>
      </c>
      <c r="G76" s="4">
        <v>1721260000</v>
      </c>
      <c r="H76">
        <f t="shared" si="1"/>
        <v>3.8966148034184698E-3</v>
      </c>
    </row>
    <row r="77" spans="1:8" x14ac:dyDescent="0.3">
      <c r="A77" s="5">
        <v>42116</v>
      </c>
      <c r="B77" s="6">
        <v>5026.5698240000002</v>
      </c>
      <c r="C77" s="6">
        <v>5040.6499020000001</v>
      </c>
      <c r="D77" s="6">
        <v>4992.6201170000004</v>
      </c>
      <c r="E77" s="6">
        <v>5035.169922</v>
      </c>
      <c r="F77" s="6">
        <v>5035.169922</v>
      </c>
      <c r="G77" s="4">
        <v>1696380000</v>
      </c>
      <c r="H77">
        <f t="shared" si="1"/>
        <v>4.1933105254642654E-3</v>
      </c>
    </row>
    <row r="78" spans="1:8" x14ac:dyDescent="0.3">
      <c r="A78" s="5">
        <v>42117</v>
      </c>
      <c r="B78" s="6">
        <v>5020.2202150000003</v>
      </c>
      <c r="C78" s="6">
        <v>5073.0898440000001</v>
      </c>
      <c r="D78" s="6">
        <v>5019.2900390000004</v>
      </c>
      <c r="E78" s="6">
        <v>5056.0600590000004</v>
      </c>
      <c r="F78" s="6">
        <v>5056.0600590000004</v>
      </c>
      <c r="G78" s="4">
        <v>1858620000</v>
      </c>
      <c r="H78">
        <f t="shared" si="1"/>
        <v>4.1402617679866006E-3</v>
      </c>
    </row>
    <row r="79" spans="1:8" x14ac:dyDescent="0.3">
      <c r="A79" s="5">
        <v>42118</v>
      </c>
      <c r="B79" s="6">
        <v>5096.3398440000001</v>
      </c>
      <c r="C79" s="6">
        <v>5100.3701170000004</v>
      </c>
      <c r="D79" s="6">
        <v>5081.2099609999996</v>
      </c>
      <c r="E79" s="6">
        <v>5092.080078</v>
      </c>
      <c r="F79" s="6">
        <v>5092.080078</v>
      </c>
      <c r="G79" s="4">
        <v>1895150000</v>
      </c>
      <c r="H79">
        <f t="shared" si="1"/>
        <v>7.0988712768231509E-3</v>
      </c>
    </row>
    <row r="80" spans="1:8" x14ac:dyDescent="0.3">
      <c r="A80" s="5">
        <v>42121</v>
      </c>
      <c r="B80" s="6">
        <v>5104.3598629999997</v>
      </c>
      <c r="C80" s="6">
        <v>5119.830078</v>
      </c>
      <c r="D80" s="6">
        <v>5053.5400390000004</v>
      </c>
      <c r="E80" s="6">
        <v>5060.25</v>
      </c>
      <c r="F80" s="6">
        <v>5060.25</v>
      </c>
      <c r="G80" s="4">
        <v>2172470000</v>
      </c>
      <c r="H80">
        <f t="shared" si="1"/>
        <v>-6.2705176152315469E-3</v>
      </c>
    </row>
    <row r="81" spans="1:8" x14ac:dyDescent="0.3">
      <c r="A81" s="5">
        <v>42122</v>
      </c>
      <c r="B81" s="6">
        <v>5063.2597660000001</v>
      </c>
      <c r="C81" s="6">
        <v>5075.2998049999997</v>
      </c>
      <c r="D81" s="6">
        <v>5006.2797849999997</v>
      </c>
      <c r="E81" s="6">
        <v>5055.419922</v>
      </c>
      <c r="F81" s="6">
        <v>5055.419922</v>
      </c>
      <c r="G81" s="4">
        <v>2032500000</v>
      </c>
      <c r="H81">
        <f t="shared" si="1"/>
        <v>-9.5496954810038687E-4</v>
      </c>
    </row>
    <row r="82" spans="1:8" x14ac:dyDescent="0.3">
      <c r="A82" s="5">
        <v>42123</v>
      </c>
      <c r="B82" s="6">
        <v>5028.4501950000003</v>
      </c>
      <c r="C82" s="6">
        <v>5053.8398440000001</v>
      </c>
      <c r="D82" s="6">
        <v>4999.830078</v>
      </c>
      <c r="E82" s="6">
        <v>5023.6401370000003</v>
      </c>
      <c r="F82" s="6">
        <v>5023.6401370000003</v>
      </c>
      <c r="G82" s="4">
        <v>1871300000</v>
      </c>
      <c r="H82">
        <f t="shared" si="1"/>
        <v>-6.3061218268202568E-3</v>
      </c>
    </row>
    <row r="83" spans="1:8" x14ac:dyDescent="0.3">
      <c r="A83" s="5">
        <v>42124</v>
      </c>
      <c r="B83" s="6">
        <v>4996.9902339999999</v>
      </c>
      <c r="C83" s="6">
        <v>5015.9599609999996</v>
      </c>
      <c r="D83" s="6">
        <v>4921.5498049999997</v>
      </c>
      <c r="E83" s="6">
        <v>4941.419922</v>
      </c>
      <c r="F83" s="6">
        <v>4941.419922</v>
      </c>
      <c r="G83" s="4">
        <v>2269290000</v>
      </c>
      <c r="H83">
        <f t="shared" si="1"/>
        <v>-1.6502074316640837E-2</v>
      </c>
    </row>
    <row r="84" spans="1:8" x14ac:dyDescent="0.3">
      <c r="A84" s="5">
        <v>42125</v>
      </c>
      <c r="B84" s="6">
        <v>4966.3198240000002</v>
      </c>
      <c r="C84" s="6">
        <v>5005.3901370000003</v>
      </c>
      <c r="D84" s="6">
        <v>4962.7402339999999</v>
      </c>
      <c r="E84" s="6">
        <v>5005.3901370000003</v>
      </c>
      <c r="F84" s="6">
        <v>5005.3901370000003</v>
      </c>
      <c r="G84" s="4">
        <v>1854400000</v>
      </c>
      <c r="H84">
        <f t="shared" si="1"/>
        <v>1.2862635677886987E-2</v>
      </c>
    </row>
    <row r="85" spans="1:8" x14ac:dyDescent="0.3">
      <c r="A85" s="5">
        <v>42128</v>
      </c>
      <c r="B85" s="6">
        <v>5018.3500979999999</v>
      </c>
      <c r="C85" s="6">
        <v>5043.6201170000004</v>
      </c>
      <c r="D85" s="6">
        <v>5013.0200199999999</v>
      </c>
      <c r="E85" s="6">
        <v>5016.9301759999998</v>
      </c>
      <c r="F85" s="6">
        <v>5016.9301759999998</v>
      </c>
      <c r="G85" s="4">
        <v>1668200000</v>
      </c>
      <c r="H85">
        <f t="shared" si="1"/>
        <v>2.3028687448679169E-3</v>
      </c>
    </row>
    <row r="86" spans="1:8" x14ac:dyDescent="0.3">
      <c r="A86" s="5">
        <v>42129</v>
      </c>
      <c r="B86" s="6">
        <v>5000.2001950000003</v>
      </c>
      <c r="C86" s="6">
        <v>5008.2700199999999</v>
      </c>
      <c r="D86" s="6">
        <v>4934.3398440000001</v>
      </c>
      <c r="E86" s="6">
        <v>4939.330078</v>
      </c>
      <c r="F86" s="6">
        <v>4939.330078</v>
      </c>
      <c r="G86" s="4">
        <v>2069490000</v>
      </c>
      <c r="H86">
        <f t="shared" si="1"/>
        <v>-1.5588517661863862E-2</v>
      </c>
    </row>
    <row r="87" spans="1:8" x14ac:dyDescent="0.3">
      <c r="A87" s="5">
        <v>42130</v>
      </c>
      <c r="B87" s="6">
        <v>4956.7001950000003</v>
      </c>
      <c r="C87" s="6">
        <v>4965.1000979999999</v>
      </c>
      <c r="D87" s="6">
        <v>4888.169922</v>
      </c>
      <c r="E87" s="6">
        <v>4919.6401370000003</v>
      </c>
      <c r="F87" s="6">
        <v>4919.6401370000003</v>
      </c>
      <c r="G87" s="4">
        <v>2144620000</v>
      </c>
      <c r="H87">
        <f t="shared" si="1"/>
        <v>-3.9943253198702821E-3</v>
      </c>
    </row>
    <row r="88" spans="1:8" x14ac:dyDescent="0.3">
      <c r="A88" s="5">
        <v>42131</v>
      </c>
      <c r="B88" s="6">
        <v>4917.75</v>
      </c>
      <c r="C88" s="6">
        <v>4957.1201170000004</v>
      </c>
      <c r="D88" s="6">
        <v>4914.5297849999997</v>
      </c>
      <c r="E88" s="6">
        <v>4945.5400390000004</v>
      </c>
      <c r="F88" s="6">
        <v>4945.5400390000004</v>
      </c>
      <c r="G88" s="4">
        <v>2042960000</v>
      </c>
      <c r="H88">
        <f t="shared" si="1"/>
        <v>5.2507832689304267E-3</v>
      </c>
    </row>
    <row r="89" spans="1:8" x14ac:dyDescent="0.3">
      <c r="A89" s="5">
        <v>42132</v>
      </c>
      <c r="B89" s="6">
        <v>4991.6298829999996</v>
      </c>
      <c r="C89" s="6">
        <v>5014.330078</v>
      </c>
      <c r="D89" s="6">
        <v>4989.2597660000001</v>
      </c>
      <c r="E89" s="6">
        <v>5003.5498049999997</v>
      </c>
      <c r="F89" s="6">
        <v>5003.5498049999997</v>
      </c>
      <c r="G89" s="4">
        <v>1978760000</v>
      </c>
      <c r="H89">
        <f t="shared" si="1"/>
        <v>1.1661453319112981E-2</v>
      </c>
    </row>
    <row r="90" spans="1:8" x14ac:dyDescent="0.3">
      <c r="A90" s="5">
        <v>42135</v>
      </c>
      <c r="B90" s="6">
        <v>5003.2597660000001</v>
      </c>
      <c r="C90" s="6">
        <v>5017.3798829999996</v>
      </c>
      <c r="D90" s="6">
        <v>4992.0200199999999</v>
      </c>
      <c r="E90" s="6">
        <v>4993.5698240000002</v>
      </c>
      <c r="F90" s="6">
        <v>4993.5698240000002</v>
      </c>
      <c r="G90" s="4">
        <v>1731390000</v>
      </c>
      <c r="H90">
        <f t="shared" si="1"/>
        <v>-1.9965719498474723E-3</v>
      </c>
    </row>
    <row r="91" spans="1:8" x14ac:dyDescent="0.3">
      <c r="A91" s="5">
        <v>42136</v>
      </c>
      <c r="B91" s="6">
        <v>4966.4399409999996</v>
      </c>
      <c r="C91" s="6">
        <v>4995.5</v>
      </c>
      <c r="D91" s="6">
        <v>4931.6000979999999</v>
      </c>
      <c r="E91" s="6">
        <v>4976.1899409999996</v>
      </c>
      <c r="F91" s="6">
        <v>4976.1899409999996</v>
      </c>
      <c r="G91" s="4">
        <v>1705870000</v>
      </c>
      <c r="H91">
        <f t="shared" si="1"/>
        <v>-3.486523449965034E-3</v>
      </c>
    </row>
    <row r="92" spans="1:8" x14ac:dyDescent="0.3">
      <c r="A92" s="5">
        <v>42137</v>
      </c>
      <c r="B92" s="6">
        <v>4991.419922</v>
      </c>
      <c r="C92" s="6">
        <v>5012.9702150000003</v>
      </c>
      <c r="D92" s="6">
        <v>4977.4902339999999</v>
      </c>
      <c r="E92" s="6">
        <v>4981.6899409999996</v>
      </c>
      <c r="F92" s="6">
        <v>4981.6899409999996</v>
      </c>
      <c r="G92" s="4">
        <v>1672260000</v>
      </c>
      <c r="H92">
        <f t="shared" si="1"/>
        <v>1.1046529230035948E-3</v>
      </c>
    </row>
    <row r="93" spans="1:8" x14ac:dyDescent="0.3">
      <c r="A93" s="5">
        <v>42138</v>
      </c>
      <c r="B93" s="6">
        <v>5016.6801759999998</v>
      </c>
      <c r="C93" s="6">
        <v>5051.7202150000003</v>
      </c>
      <c r="D93" s="6">
        <v>4999.6499020000001</v>
      </c>
      <c r="E93" s="6">
        <v>5050.7998049999997</v>
      </c>
      <c r="F93" s="6">
        <v>5050.7998049999997</v>
      </c>
      <c r="G93" s="4">
        <v>1741970000</v>
      </c>
      <c r="H93">
        <f t="shared" si="1"/>
        <v>1.3777428920440869E-2</v>
      </c>
    </row>
    <row r="94" spans="1:8" x14ac:dyDescent="0.3">
      <c r="A94" s="5">
        <v>42139</v>
      </c>
      <c r="B94" s="6">
        <v>5059.1499020000001</v>
      </c>
      <c r="C94" s="6">
        <v>5062.6499020000001</v>
      </c>
      <c r="D94" s="6">
        <v>5034.8398440000001</v>
      </c>
      <c r="E94" s="6">
        <v>5048.2900390000004</v>
      </c>
      <c r="F94" s="6">
        <v>5048.2900390000004</v>
      </c>
      <c r="G94" s="4">
        <v>1667260000</v>
      </c>
      <c r="H94">
        <f t="shared" si="1"/>
        <v>-4.9702816599009206E-4</v>
      </c>
    </row>
    <row r="95" spans="1:8" x14ac:dyDescent="0.3">
      <c r="A95" s="5">
        <v>42142</v>
      </c>
      <c r="B95" s="6">
        <v>5040.919922</v>
      </c>
      <c r="C95" s="6">
        <v>5084.5</v>
      </c>
      <c r="D95" s="6">
        <v>5037.5400390000004</v>
      </c>
      <c r="E95" s="6">
        <v>5078.4399409999996</v>
      </c>
      <c r="F95" s="6">
        <v>5078.4399409999996</v>
      </c>
      <c r="G95" s="4">
        <v>1643870000</v>
      </c>
      <c r="H95">
        <f t="shared" si="1"/>
        <v>5.9545363890747141E-3</v>
      </c>
    </row>
    <row r="96" spans="1:8" x14ac:dyDescent="0.3">
      <c r="A96" s="5">
        <v>42143</v>
      </c>
      <c r="B96" s="6">
        <v>5080.4399409999996</v>
      </c>
      <c r="C96" s="6">
        <v>5087.3500979999999</v>
      </c>
      <c r="D96" s="6">
        <v>5062.7998049999997</v>
      </c>
      <c r="E96" s="6">
        <v>5070.0297849999997</v>
      </c>
      <c r="F96" s="6">
        <v>5070.0297849999997</v>
      </c>
      <c r="G96" s="4">
        <v>1750980000</v>
      </c>
      <c r="H96">
        <f t="shared" si="1"/>
        <v>-1.6574238584396788E-3</v>
      </c>
    </row>
    <row r="97" spans="1:8" x14ac:dyDescent="0.3">
      <c r="A97" s="5">
        <v>42144</v>
      </c>
      <c r="B97" s="6">
        <v>5072.4399409999996</v>
      </c>
      <c r="C97" s="6">
        <v>5097.5200199999999</v>
      </c>
      <c r="D97" s="6">
        <v>5050.2099609999996</v>
      </c>
      <c r="E97" s="6">
        <v>5071.7402339999999</v>
      </c>
      <c r="F97" s="6">
        <v>5071.7402339999999</v>
      </c>
      <c r="G97" s="4">
        <v>1786830000</v>
      </c>
      <c r="H97">
        <f t="shared" si="1"/>
        <v>3.3730779006300023E-4</v>
      </c>
    </row>
    <row r="98" spans="1:8" x14ac:dyDescent="0.3">
      <c r="A98" s="5">
        <v>42145</v>
      </c>
      <c r="B98" s="6">
        <v>5065.9399409999996</v>
      </c>
      <c r="C98" s="6">
        <v>5098.2299800000001</v>
      </c>
      <c r="D98" s="6">
        <v>5062.5097660000001</v>
      </c>
      <c r="E98" s="6">
        <v>5090.7900390000004</v>
      </c>
      <c r="F98" s="6">
        <v>5090.7900390000004</v>
      </c>
      <c r="G98" s="4">
        <v>1683670000</v>
      </c>
      <c r="H98">
        <f t="shared" si="1"/>
        <v>3.7490323375621078E-3</v>
      </c>
    </row>
    <row r="99" spans="1:8" x14ac:dyDescent="0.3">
      <c r="A99" s="5">
        <v>42146</v>
      </c>
      <c r="B99" s="6">
        <v>5085.3901370000003</v>
      </c>
      <c r="C99" s="6">
        <v>5103.8398440000001</v>
      </c>
      <c r="D99" s="6">
        <v>5085.1899409999996</v>
      </c>
      <c r="E99" s="6">
        <v>5089.3598629999997</v>
      </c>
      <c r="F99" s="6">
        <v>5089.3598629999997</v>
      </c>
      <c r="G99" s="4">
        <v>1544920000</v>
      </c>
      <c r="H99">
        <f t="shared" si="1"/>
        <v>-2.8097346761639256E-4</v>
      </c>
    </row>
    <row r="100" spans="1:8" x14ac:dyDescent="0.3">
      <c r="A100" s="5">
        <v>42150</v>
      </c>
      <c r="B100" s="6">
        <v>5076.9101559999999</v>
      </c>
      <c r="C100" s="6">
        <v>5081.169922</v>
      </c>
      <c r="D100" s="6">
        <v>5016.7402339999999</v>
      </c>
      <c r="E100" s="6">
        <v>5032.75</v>
      </c>
      <c r="F100" s="6">
        <v>5032.75</v>
      </c>
      <c r="G100" s="4">
        <v>1731950000</v>
      </c>
      <c r="H100">
        <f t="shared" si="1"/>
        <v>-1.118550460249511E-2</v>
      </c>
    </row>
    <row r="101" spans="1:8" x14ac:dyDescent="0.3">
      <c r="A101" s="5">
        <v>42151</v>
      </c>
      <c r="B101" s="6">
        <v>5047.8598629999997</v>
      </c>
      <c r="C101" s="6">
        <v>5111.5400390000004</v>
      </c>
      <c r="D101" s="6">
        <v>5039.3701170000004</v>
      </c>
      <c r="E101" s="6">
        <v>5106.5898440000001</v>
      </c>
      <c r="F101" s="6">
        <v>5106.5898440000001</v>
      </c>
      <c r="G101" s="4">
        <v>1809550000</v>
      </c>
      <c r="H101">
        <f t="shared" si="1"/>
        <v>1.456527753124567E-2</v>
      </c>
    </row>
    <row r="102" spans="1:8" x14ac:dyDescent="0.3">
      <c r="A102" s="5">
        <v>42152</v>
      </c>
      <c r="B102" s="6">
        <v>5096.3398440000001</v>
      </c>
      <c r="C102" s="6">
        <v>5106.6499020000001</v>
      </c>
      <c r="D102" s="6">
        <v>5080.25</v>
      </c>
      <c r="E102" s="6">
        <v>5097.9799800000001</v>
      </c>
      <c r="F102" s="6">
        <v>5097.9799800000001</v>
      </c>
      <c r="G102" s="4">
        <v>1741420000</v>
      </c>
      <c r="H102">
        <f t="shared" si="1"/>
        <v>-1.6874530120412792E-3</v>
      </c>
    </row>
    <row r="103" spans="1:8" x14ac:dyDescent="0.3">
      <c r="A103" s="5">
        <v>42153</v>
      </c>
      <c r="B103" s="6">
        <v>5093.1000979999999</v>
      </c>
      <c r="C103" s="6">
        <v>5099.3999020000001</v>
      </c>
      <c r="D103" s="6">
        <v>5057.5898440000001</v>
      </c>
      <c r="E103" s="6">
        <v>5070.0297849999997</v>
      </c>
      <c r="F103" s="6">
        <v>5070.0297849999997</v>
      </c>
      <c r="G103" s="4">
        <v>2024170000</v>
      </c>
      <c r="H103">
        <f t="shared" si="1"/>
        <v>-5.4976865767178947E-3</v>
      </c>
    </row>
    <row r="104" spans="1:8" x14ac:dyDescent="0.3">
      <c r="A104" s="5">
        <v>42156</v>
      </c>
      <c r="B104" s="6">
        <v>5094.9399409999996</v>
      </c>
      <c r="C104" s="6">
        <v>5099.0097660000001</v>
      </c>
      <c r="D104" s="6">
        <v>5045.669922</v>
      </c>
      <c r="E104" s="6">
        <v>5082.9301759999998</v>
      </c>
      <c r="F104" s="6">
        <v>5082.9301759999998</v>
      </c>
      <c r="G104" s="4">
        <v>1902120000</v>
      </c>
      <c r="H104">
        <f t="shared" si="1"/>
        <v>2.541209261503813E-3</v>
      </c>
    </row>
    <row r="105" spans="1:8" x14ac:dyDescent="0.3">
      <c r="A105" s="5">
        <v>42157</v>
      </c>
      <c r="B105" s="6">
        <v>5063.4702150000003</v>
      </c>
      <c r="C105" s="6">
        <v>5100.0200199999999</v>
      </c>
      <c r="D105" s="6">
        <v>5047.3500979999999</v>
      </c>
      <c r="E105" s="6">
        <v>5076.5200199999999</v>
      </c>
      <c r="F105" s="6">
        <v>5076.5200199999999</v>
      </c>
      <c r="G105" s="4">
        <v>1729750000</v>
      </c>
      <c r="H105">
        <f t="shared" si="1"/>
        <v>-1.2619101874549435E-3</v>
      </c>
    </row>
    <row r="106" spans="1:8" x14ac:dyDescent="0.3">
      <c r="A106" s="5">
        <v>42158</v>
      </c>
      <c r="B106" s="6">
        <v>5098.4799800000001</v>
      </c>
      <c r="C106" s="6">
        <v>5114.6000979999999</v>
      </c>
      <c r="D106" s="6">
        <v>5084.9902339999999</v>
      </c>
      <c r="E106" s="6">
        <v>5099.2299800000001</v>
      </c>
      <c r="F106" s="6">
        <v>5099.2299800000001</v>
      </c>
      <c r="G106" s="4">
        <v>1852680000</v>
      </c>
      <c r="H106">
        <f t="shared" si="1"/>
        <v>4.4635526039396786E-3</v>
      </c>
    </row>
    <row r="107" spans="1:8" x14ac:dyDescent="0.3">
      <c r="A107" s="5">
        <v>42159</v>
      </c>
      <c r="B107" s="6">
        <v>5078.2202150000003</v>
      </c>
      <c r="C107" s="6">
        <v>5101.1098629999997</v>
      </c>
      <c r="D107" s="6">
        <v>5046.2900390000004</v>
      </c>
      <c r="E107" s="6">
        <v>5059.1201170000004</v>
      </c>
      <c r="F107" s="6">
        <v>5059.1201170000004</v>
      </c>
      <c r="G107" s="4">
        <v>1813960000</v>
      </c>
      <c r="H107">
        <f t="shared" si="1"/>
        <v>-7.896965759455225E-3</v>
      </c>
    </row>
    <row r="108" spans="1:8" x14ac:dyDescent="0.3">
      <c r="A108" s="5">
        <v>42160</v>
      </c>
      <c r="B108" s="6">
        <v>5057.0400390000004</v>
      </c>
      <c r="C108" s="6">
        <v>5074.9799800000001</v>
      </c>
      <c r="D108" s="6">
        <v>5025.5200199999999</v>
      </c>
      <c r="E108" s="6">
        <v>5068.4599609999996</v>
      </c>
      <c r="F108" s="6">
        <v>5068.4599609999996</v>
      </c>
      <c r="G108" s="4">
        <v>1842890000</v>
      </c>
      <c r="H108">
        <f t="shared" si="1"/>
        <v>1.8444379754835687E-3</v>
      </c>
    </row>
    <row r="109" spans="1:8" x14ac:dyDescent="0.3">
      <c r="A109" s="5">
        <v>42163</v>
      </c>
      <c r="B109" s="6">
        <v>5066.6499020000001</v>
      </c>
      <c r="C109" s="6">
        <v>5069</v>
      </c>
      <c r="D109" s="6">
        <v>5014.0600590000004</v>
      </c>
      <c r="E109" s="6">
        <v>5021.6298829999996</v>
      </c>
      <c r="F109" s="6">
        <v>5021.6298829999996</v>
      </c>
      <c r="G109" s="4">
        <v>1712210000</v>
      </c>
      <c r="H109">
        <f t="shared" si="1"/>
        <v>-9.2824573376797601E-3</v>
      </c>
    </row>
    <row r="110" spans="1:8" x14ac:dyDescent="0.3">
      <c r="A110" s="5">
        <v>42164</v>
      </c>
      <c r="B110" s="6">
        <v>5013.1298829999996</v>
      </c>
      <c r="C110" s="6">
        <v>5027.0200199999999</v>
      </c>
      <c r="D110" s="6">
        <v>4974.6201170000004</v>
      </c>
      <c r="E110" s="6">
        <v>5013.8701170000004</v>
      </c>
      <c r="F110" s="6">
        <v>5013.8701170000004</v>
      </c>
      <c r="G110" s="4">
        <v>1754340000</v>
      </c>
      <c r="H110">
        <f t="shared" si="1"/>
        <v>-1.546463563646588E-3</v>
      </c>
    </row>
    <row r="111" spans="1:8" x14ac:dyDescent="0.3">
      <c r="A111" s="5">
        <v>42165</v>
      </c>
      <c r="B111" s="6">
        <v>5029.4101559999999</v>
      </c>
      <c r="C111" s="6">
        <v>5086.6601559999999</v>
      </c>
      <c r="D111" s="6">
        <v>5024.169922</v>
      </c>
      <c r="E111" s="6">
        <v>5076.6899409999996</v>
      </c>
      <c r="F111" s="6">
        <v>5076.6899409999996</v>
      </c>
      <c r="G111" s="4">
        <v>1792980000</v>
      </c>
      <c r="H111">
        <f t="shared" si="1"/>
        <v>1.2451367466401696E-2</v>
      </c>
    </row>
    <row r="112" spans="1:8" x14ac:dyDescent="0.3">
      <c r="A112" s="5">
        <v>42166</v>
      </c>
      <c r="B112" s="6">
        <v>5088.2597660000001</v>
      </c>
      <c r="C112" s="6">
        <v>5101.3901370000003</v>
      </c>
      <c r="D112" s="6">
        <v>5075.0498049999997</v>
      </c>
      <c r="E112" s="6">
        <v>5082.5097660000001</v>
      </c>
      <c r="F112" s="6">
        <v>5082.5097660000001</v>
      </c>
      <c r="G112" s="4">
        <v>1623950000</v>
      </c>
      <c r="H112">
        <f t="shared" si="1"/>
        <v>1.1457252154663431E-3</v>
      </c>
    </row>
    <row r="113" spans="1:8" x14ac:dyDescent="0.3">
      <c r="A113" s="5">
        <v>42167</v>
      </c>
      <c r="B113" s="6">
        <v>5060.2402339999999</v>
      </c>
      <c r="C113" s="6">
        <v>5067.9599609999996</v>
      </c>
      <c r="D113" s="6">
        <v>5043.2402339999999</v>
      </c>
      <c r="E113" s="6">
        <v>5051.1000979999999</v>
      </c>
      <c r="F113" s="6">
        <v>5051.1000979999999</v>
      </c>
      <c r="G113" s="4">
        <v>1428900000</v>
      </c>
      <c r="H113">
        <f t="shared" si="1"/>
        <v>-6.1991272624047295E-3</v>
      </c>
    </row>
    <row r="114" spans="1:8" x14ac:dyDescent="0.3">
      <c r="A114" s="5">
        <v>42170</v>
      </c>
      <c r="B114" s="6">
        <v>5011.7900390000004</v>
      </c>
      <c r="C114" s="6">
        <v>5035.3701170000004</v>
      </c>
      <c r="D114" s="6">
        <v>4985.9399409999996</v>
      </c>
      <c r="E114" s="6">
        <v>5029.9702150000003</v>
      </c>
      <c r="F114" s="6">
        <v>5029.9702150000003</v>
      </c>
      <c r="G114" s="4">
        <v>1790280000</v>
      </c>
      <c r="H114">
        <f t="shared" si="1"/>
        <v>-4.1919981284980253E-3</v>
      </c>
    </row>
    <row r="115" spans="1:8" x14ac:dyDescent="0.3">
      <c r="A115" s="5">
        <v>42171</v>
      </c>
      <c r="B115" s="6">
        <v>5023.580078</v>
      </c>
      <c r="C115" s="6">
        <v>5063.0600590000004</v>
      </c>
      <c r="D115" s="6">
        <v>5022.5600590000004</v>
      </c>
      <c r="E115" s="6">
        <v>5055.5498049999997</v>
      </c>
      <c r="F115" s="6">
        <v>5055.5498049999997</v>
      </c>
      <c r="G115" s="4">
        <v>1654820000</v>
      </c>
      <c r="H115">
        <f t="shared" si="1"/>
        <v>5.0725485245679634E-3</v>
      </c>
    </row>
    <row r="116" spans="1:8" x14ac:dyDescent="0.3">
      <c r="A116" s="5">
        <v>42172</v>
      </c>
      <c r="B116" s="6">
        <v>5067.6801759999998</v>
      </c>
      <c r="C116" s="6">
        <v>5080.1098629999997</v>
      </c>
      <c r="D116" s="6">
        <v>5042.25</v>
      </c>
      <c r="E116" s="6">
        <v>5064.8798829999996</v>
      </c>
      <c r="F116" s="6">
        <v>5064.8798829999996</v>
      </c>
      <c r="G116" s="4">
        <v>1712820000</v>
      </c>
      <c r="H116">
        <f t="shared" si="1"/>
        <v>1.8438111682757457E-3</v>
      </c>
    </row>
    <row r="117" spans="1:8" x14ac:dyDescent="0.3">
      <c r="A117" s="5">
        <v>42173</v>
      </c>
      <c r="B117" s="6">
        <v>5082.0600590000004</v>
      </c>
      <c r="C117" s="6">
        <v>5143.3198240000002</v>
      </c>
      <c r="D117" s="6">
        <v>5082.0297849999997</v>
      </c>
      <c r="E117" s="6">
        <v>5132.9501950000003</v>
      </c>
      <c r="F117" s="6">
        <v>5132.9501950000003</v>
      </c>
      <c r="G117" s="4">
        <v>1877920000</v>
      </c>
      <c r="H117">
        <f t="shared" si="1"/>
        <v>1.3350158312520288E-2</v>
      </c>
    </row>
    <row r="118" spans="1:8" x14ac:dyDescent="0.3">
      <c r="A118" s="5">
        <v>42174</v>
      </c>
      <c r="B118" s="6">
        <v>5139.7700199999999</v>
      </c>
      <c r="C118" s="6">
        <v>5140.169922</v>
      </c>
      <c r="D118" s="6">
        <v>5113.9399409999996</v>
      </c>
      <c r="E118" s="6">
        <v>5117</v>
      </c>
      <c r="F118" s="6">
        <v>5117</v>
      </c>
      <c r="G118" s="4">
        <v>2468310000</v>
      </c>
      <c r="H118">
        <f t="shared" si="1"/>
        <v>-3.1122508053520277E-3</v>
      </c>
    </row>
    <row r="119" spans="1:8" x14ac:dyDescent="0.3">
      <c r="A119" s="5">
        <v>42177</v>
      </c>
      <c r="B119" s="6">
        <v>5147.8701170000004</v>
      </c>
      <c r="C119" s="6">
        <v>5162.1298829999996</v>
      </c>
      <c r="D119" s="6">
        <v>5142.7797849999997</v>
      </c>
      <c r="E119" s="6">
        <v>5153.9702150000003</v>
      </c>
      <c r="F119" s="6">
        <v>5153.9702150000003</v>
      </c>
      <c r="G119" s="4">
        <v>1619970000</v>
      </c>
      <c r="H119">
        <f t="shared" si="1"/>
        <v>7.1990033839232706E-3</v>
      </c>
    </row>
    <row r="120" spans="1:8" x14ac:dyDescent="0.3">
      <c r="A120" s="5">
        <v>42178</v>
      </c>
      <c r="B120" s="6">
        <v>5161.6801759999998</v>
      </c>
      <c r="C120" s="6">
        <v>5163.4101559999999</v>
      </c>
      <c r="D120" s="6">
        <v>5139.330078</v>
      </c>
      <c r="E120" s="6">
        <v>5160.0898440000001</v>
      </c>
      <c r="F120" s="6">
        <v>5160.0898440000001</v>
      </c>
      <c r="G120" s="4">
        <v>1613540000</v>
      </c>
      <c r="H120">
        <f t="shared" si="1"/>
        <v>1.1866577629197159E-3</v>
      </c>
    </row>
    <row r="121" spans="1:8" x14ac:dyDescent="0.3">
      <c r="A121" s="5">
        <v>42179</v>
      </c>
      <c r="B121" s="6">
        <v>5151.3798829999996</v>
      </c>
      <c r="C121" s="6">
        <v>5164.3598629999997</v>
      </c>
      <c r="D121" s="6">
        <v>5121.6401370000003</v>
      </c>
      <c r="E121" s="6">
        <v>5122.4101559999999</v>
      </c>
      <c r="F121" s="6">
        <v>5122.4101559999999</v>
      </c>
      <c r="G121" s="4">
        <v>1628800000</v>
      </c>
      <c r="H121">
        <f t="shared" si="1"/>
        <v>-7.3289290849317835E-3</v>
      </c>
    </row>
    <row r="122" spans="1:8" x14ac:dyDescent="0.3">
      <c r="A122" s="5">
        <v>42180</v>
      </c>
      <c r="B122" s="6">
        <v>5139.4799800000001</v>
      </c>
      <c r="C122" s="6">
        <v>5141.7099609999996</v>
      </c>
      <c r="D122" s="6">
        <v>5102.1601559999999</v>
      </c>
      <c r="E122" s="6">
        <v>5112.1899409999996</v>
      </c>
      <c r="F122" s="6">
        <v>5112.1899409999996</v>
      </c>
      <c r="G122" s="4">
        <v>1614760000</v>
      </c>
      <c r="H122">
        <f t="shared" si="1"/>
        <v>-1.9971895922277793E-3</v>
      </c>
    </row>
    <row r="123" spans="1:8" x14ac:dyDescent="0.3">
      <c r="A123" s="5">
        <v>42181</v>
      </c>
      <c r="B123" s="6">
        <v>5113.2597660000001</v>
      </c>
      <c r="C123" s="6">
        <v>5121.4702150000003</v>
      </c>
      <c r="D123" s="6">
        <v>5060.8198240000002</v>
      </c>
      <c r="E123" s="6">
        <v>5080.5097660000001</v>
      </c>
      <c r="F123" s="6">
        <v>5080.5097660000001</v>
      </c>
      <c r="G123" s="4">
        <v>3843810000</v>
      </c>
      <c r="H123">
        <f t="shared" si="1"/>
        <v>-6.2162680989397518E-3</v>
      </c>
    </row>
    <row r="124" spans="1:8" x14ac:dyDescent="0.3">
      <c r="A124" s="5">
        <v>42184</v>
      </c>
      <c r="B124" s="6">
        <v>5021.2099609999996</v>
      </c>
      <c r="C124" s="6">
        <v>5051.0097660000001</v>
      </c>
      <c r="D124" s="6">
        <v>4956.2299800000001</v>
      </c>
      <c r="E124" s="6">
        <v>4958.4702150000003</v>
      </c>
      <c r="F124" s="6">
        <v>4958.4702150000003</v>
      </c>
      <c r="G124" s="4">
        <v>2025580000</v>
      </c>
      <c r="H124">
        <f t="shared" si="1"/>
        <v>-2.4314335424609292E-2</v>
      </c>
    </row>
    <row r="125" spans="1:8" x14ac:dyDescent="0.3">
      <c r="A125" s="5">
        <v>42185</v>
      </c>
      <c r="B125" s="6">
        <v>5000.1499020000001</v>
      </c>
      <c r="C125" s="6">
        <v>5008.7597660000001</v>
      </c>
      <c r="D125" s="6">
        <v>4968.2597660000001</v>
      </c>
      <c r="E125" s="6">
        <v>4986.8701170000004</v>
      </c>
      <c r="F125" s="6">
        <v>4986.8701170000004</v>
      </c>
      <c r="G125" s="4">
        <v>2034430000</v>
      </c>
      <c r="H125">
        <f t="shared" si="1"/>
        <v>5.7112131405176779E-3</v>
      </c>
    </row>
    <row r="126" spans="1:8" x14ac:dyDescent="0.3">
      <c r="A126" s="5">
        <v>42186</v>
      </c>
      <c r="B126" s="6">
        <v>5029.0498049999997</v>
      </c>
      <c r="C126" s="6">
        <v>5038.5498049999997</v>
      </c>
      <c r="D126" s="6">
        <v>4994.4599609999996</v>
      </c>
      <c r="E126" s="6">
        <v>5013.1201170000004</v>
      </c>
      <c r="F126" s="6">
        <v>5013.1201170000004</v>
      </c>
      <c r="G126" s="4">
        <v>1814560000</v>
      </c>
      <c r="H126">
        <f t="shared" si="1"/>
        <v>5.2500171858339507E-3</v>
      </c>
    </row>
    <row r="127" spans="1:8" x14ac:dyDescent="0.3">
      <c r="A127" s="5">
        <v>42187</v>
      </c>
      <c r="B127" s="6">
        <v>5024.2998049999997</v>
      </c>
      <c r="C127" s="6">
        <v>5027.4702150000003</v>
      </c>
      <c r="D127" s="6">
        <v>4990.7402339999999</v>
      </c>
      <c r="E127" s="6">
        <v>5009.2099609999996</v>
      </c>
      <c r="F127" s="6">
        <v>5009.2099609999996</v>
      </c>
      <c r="G127" s="4">
        <v>1490810000</v>
      </c>
      <c r="H127">
        <f t="shared" si="1"/>
        <v>-7.8028884859339539E-4</v>
      </c>
    </row>
    <row r="128" spans="1:8" x14ac:dyDescent="0.3">
      <c r="A128" s="5">
        <v>42191</v>
      </c>
      <c r="B128" s="6">
        <v>4963.7998049999997</v>
      </c>
      <c r="C128" s="6">
        <v>5020.7099609999996</v>
      </c>
      <c r="D128" s="6">
        <v>4960.9301759999998</v>
      </c>
      <c r="E128" s="6">
        <v>4991.9399409999996</v>
      </c>
      <c r="F128" s="6">
        <v>4991.9399409999996</v>
      </c>
      <c r="G128" s="4">
        <v>1741500000</v>
      </c>
      <c r="H128">
        <f t="shared" si="1"/>
        <v>-3.4536103017741532E-3</v>
      </c>
    </row>
    <row r="129" spans="1:8" x14ac:dyDescent="0.3">
      <c r="A129" s="5">
        <v>42192</v>
      </c>
      <c r="B129" s="6">
        <v>4993.7597660000001</v>
      </c>
      <c r="C129" s="6">
        <v>5001.9902339999999</v>
      </c>
      <c r="D129" s="6">
        <v>4902.2099609999996</v>
      </c>
      <c r="E129" s="6">
        <v>4997.4599609999996</v>
      </c>
      <c r="F129" s="6">
        <v>4997.4599609999996</v>
      </c>
      <c r="G129" s="4">
        <v>2132080000</v>
      </c>
      <c r="H129">
        <f t="shared" si="1"/>
        <v>1.1051756093470257E-3</v>
      </c>
    </row>
    <row r="130" spans="1:8" x14ac:dyDescent="0.3">
      <c r="A130" s="5">
        <v>42193</v>
      </c>
      <c r="B130" s="6">
        <v>4953.9799800000001</v>
      </c>
      <c r="C130" s="6">
        <v>4965.4501950000003</v>
      </c>
      <c r="D130" s="6">
        <v>4901.5097660000001</v>
      </c>
      <c r="E130" s="6">
        <v>4909.7597660000001</v>
      </c>
      <c r="F130" s="6">
        <v>4909.7597660000001</v>
      </c>
      <c r="G130" s="4">
        <v>1931520000</v>
      </c>
      <c r="H130">
        <f t="shared" si="1"/>
        <v>-1.7704762439888333E-2</v>
      </c>
    </row>
    <row r="131" spans="1:8" x14ac:dyDescent="0.3">
      <c r="A131" s="5">
        <v>42194</v>
      </c>
      <c r="B131" s="6">
        <v>4976.1499020000001</v>
      </c>
      <c r="C131" s="6">
        <v>4982.1899409999996</v>
      </c>
      <c r="D131" s="6">
        <v>4920.3999020000001</v>
      </c>
      <c r="E131" s="6">
        <v>4922.3999020000001</v>
      </c>
      <c r="F131" s="6">
        <v>4922.3999020000001</v>
      </c>
      <c r="G131" s="4">
        <v>1861600000</v>
      </c>
      <c r="H131">
        <f t="shared" si="1"/>
        <v>2.5711834206238213E-3</v>
      </c>
    </row>
    <row r="132" spans="1:8" x14ac:dyDescent="0.3">
      <c r="A132" s="5">
        <v>42195</v>
      </c>
      <c r="B132" s="6">
        <v>4981.2402339999999</v>
      </c>
      <c r="C132" s="6">
        <v>5008.0498049999997</v>
      </c>
      <c r="D132" s="6">
        <v>4966.5097660000001</v>
      </c>
      <c r="E132" s="6">
        <v>4997.7001950000003</v>
      </c>
      <c r="F132" s="6">
        <v>4997.7001950000003</v>
      </c>
      <c r="G132" s="4">
        <v>1590230000</v>
      </c>
      <c r="H132">
        <f t="shared" ref="H132:H195" si="2">LN(E132/E131)</f>
        <v>1.5181649084435631E-2</v>
      </c>
    </row>
    <row r="133" spans="1:8" x14ac:dyDescent="0.3">
      <c r="A133" s="5">
        <v>42198</v>
      </c>
      <c r="B133" s="6">
        <v>5037.2700199999999</v>
      </c>
      <c r="C133" s="6">
        <v>5074.8100590000004</v>
      </c>
      <c r="D133" s="6">
        <v>5036.6801759999998</v>
      </c>
      <c r="E133" s="6">
        <v>5071.5097660000001</v>
      </c>
      <c r="F133" s="6">
        <v>5071.5097660000001</v>
      </c>
      <c r="G133" s="4">
        <v>1694140000</v>
      </c>
      <c r="H133">
        <f t="shared" si="2"/>
        <v>1.466071187548668E-2</v>
      </c>
    </row>
    <row r="134" spans="1:8" x14ac:dyDescent="0.3">
      <c r="A134" s="5">
        <v>42199</v>
      </c>
      <c r="B134" s="6">
        <v>5077.1201170000004</v>
      </c>
      <c r="C134" s="6">
        <v>5116.5200199999999</v>
      </c>
      <c r="D134" s="6">
        <v>5075.1201170000004</v>
      </c>
      <c r="E134" s="6">
        <v>5104.8901370000003</v>
      </c>
      <c r="F134" s="6">
        <v>5104.8901370000003</v>
      </c>
      <c r="G134" s="4">
        <v>1682660000</v>
      </c>
      <c r="H134">
        <f t="shared" si="2"/>
        <v>6.5603732239643709E-3</v>
      </c>
    </row>
    <row r="135" spans="1:8" x14ac:dyDescent="0.3">
      <c r="A135" s="5">
        <v>42200</v>
      </c>
      <c r="B135" s="6">
        <v>5111.1098629999997</v>
      </c>
      <c r="C135" s="6">
        <v>5125.3198240000002</v>
      </c>
      <c r="D135" s="6">
        <v>5088.1201170000004</v>
      </c>
      <c r="E135" s="6">
        <v>5098.9399409999996</v>
      </c>
      <c r="F135" s="6">
        <v>5098.9399409999996</v>
      </c>
      <c r="G135" s="4">
        <v>1691350000</v>
      </c>
      <c r="H135">
        <f t="shared" si="2"/>
        <v>-1.1662672994279678E-3</v>
      </c>
    </row>
    <row r="136" spans="1:8" x14ac:dyDescent="0.3">
      <c r="A136" s="5">
        <v>42201</v>
      </c>
      <c r="B136" s="6">
        <v>5138.1801759999998</v>
      </c>
      <c r="C136" s="6">
        <v>5163.1801759999998</v>
      </c>
      <c r="D136" s="6">
        <v>5128.5600590000004</v>
      </c>
      <c r="E136" s="6">
        <v>5163.1801759999998</v>
      </c>
      <c r="F136" s="6">
        <v>5163.1801759999998</v>
      </c>
      <c r="G136" s="4">
        <v>1823530000</v>
      </c>
      <c r="H136">
        <f t="shared" si="2"/>
        <v>1.252003940918241E-2</v>
      </c>
    </row>
    <row r="137" spans="1:8" x14ac:dyDescent="0.3">
      <c r="A137" s="5">
        <v>42202</v>
      </c>
      <c r="B137" s="6">
        <v>5196.1098629999997</v>
      </c>
      <c r="C137" s="6">
        <v>5210.1601559999999</v>
      </c>
      <c r="D137" s="6">
        <v>5183.2299800000001</v>
      </c>
      <c r="E137" s="6">
        <v>5210.1401370000003</v>
      </c>
      <c r="F137" s="6">
        <v>5210.1401370000003</v>
      </c>
      <c r="G137" s="4">
        <v>1854450000</v>
      </c>
      <c r="H137">
        <f t="shared" si="2"/>
        <v>9.0540502714792151E-3</v>
      </c>
    </row>
    <row r="138" spans="1:8" x14ac:dyDescent="0.3">
      <c r="A138" s="5">
        <v>42205</v>
      </c>
      <c r="B138" s="6">
        <v>5223.1801759999998</v>
      </c>
      <c r="C138" s="6">
        <v>5231.9399409999996</v>
      </c>
      <c r="D138" s="6">
        <v>5201.4902339999999</v>
      </c>
      <c r="E138" s="6">
        <v>5218.8598629999997</v>
      </c>
      <c r="F138" s="6">
        <v>5218.8598629999997</v>
      </c>
      <c r="G138" s="4">
        <v>1814180000</v>
      </c>
      <c r="H138">
        <f t="shared" si="2"/>
        <v>1.6722078879851175E-3</v>
      </c>
    </row>
    <row r="139" spans="1:8" x14ac:dyDescent="0.3">
      <c r="A139" s="5">
        <v>42206</v>
      </c>
      <c r="B139" s="6">
        <v>5219.2001950000003</v>
      </c>
      <c r="C139" s="6">
        <v>5229</v>
      </c>
      <c r="D139" s="6">
        <v>5196.2998049999997</v>
      </c>
      <c r="E139" s="6">
        <v>5208.1201170000004</v>
      </c>
      <c r="F139" s="6">
        <v>5208.1201170000004</v>
      </c>
      <c r="G139" s="4">
        <v>1774570000</v>
      </c>
      <c r="H139">
        <f t="shared" si="2"/>
        <v>-2.059992407869454E-3</v>
      </c>
    </row>
    <row r="140" spans="1:8" x14ac:dyDescent="0.3">
      <c r="A140" s="5">
        <v>42207</v>
      </c>
      <c r="B140" s="6">
        <v>5146.0297849999997</v>
      </c>
      <c r="C140" s="6">
        <v>5184.7402339999999</v>
      </c>
      <c r="D140" s="6">
        <v>5145.7797849999997</v>
      </c>
      <c r="E140" s="6">
        <v>5171.7700199999999</v>
      </c>
      <c r="F140" s="6">
        <v>5171.7700199999999</v>
      </c>
      <c r="G140" s="4">
        <v>2035730000</v>
      </c>
      <c r="H140">
        <f t="shared" si="2"/>
        <v>-7.0039750167470768E-3</v>
      </c>
    </row>
    <row r="141" spans="1:8" x14ac:dyDescent="0.3">
      <c r="A141" s="5">
        <v>42208</v>
      </c>
      <c r="B141" s="6">
        <v>5180.330078</v>
      </c>
      <c r="C141" s="6">
        <v>5197</v>
      </c>
      <c r="D141" s="6">
        <v>5137.6401370000003</v>
      </c>
      <c r="E141" s="6">
        <v>5146.4101559999999</v>
      </c>
      <c r="F141" s="6">
        <v>5146.4101559999999</v>
      </c>
      <c r="G141" s="4">
        <v>2003310000</v>
      </c>
      <c r="H141">
        <f t="shared" si="2"/>
        <v>-4.915579032626482E-3</v>
      </c>
    </row>
    <row r="142" spans="1:8" x14ac:dyDescent="0.3">
      <c r="A142" s="5">
        <v>42209</v>
      </c>
      <c r="B142" s="6">
        <v>5166.9101559999999</v>
      </c>
      <c r="C142" s="6">
        <v>5167.5400390000004</v>
      </c>
      <c r="D142" s="6">
        <v>5084.5097660000001</v>
      </c>
      <c r="E142" s="6">
        <v>5088.6298829999996</v>
      </c>
      <c r="F142" s="6">
        <v>5088.6298829999996</v>
      </c>
      <c r="G142" s="4">
        <v>2004380000</v>
      </c>
      <c r="H142">
        <f t="shared" si="2"/>
        <v>-1.1290798396073498E-2</v>
      </c>
    </row>
    <row r="143" spans="1:8" x14ac:dyDescent="0.3">
      <c r="A143" s="5">
        <v>42212</v>
      </c>
      <c r="B143" s="6">
        <v>5055.919922</v>
      </c>
      <c r="C143" s="6">
        <v>5072.8798829999996</v>
      </c>
      <c r="D143" s="6">
        <v>5032.6899409999996</v>
      </c>
      <c r="E143" s="6">
        <v>5039.7797849999997</v>
      </c>
      <c r="F143" s="6">
        <v>5039.7797849999997</v>
      </c>
      <c r="G143" s="4">
        <v>1942520000</v>
      </c>
      <c r="H143">
        <f t="shared" si="2"/>
        <v>-9.6462284586351123E-3</v>
      </c>
    </row>
    <row r="144" spans="1:8" x14ac:dyDescent="0.3">
      <c r="A144" s="5">
        <v>42213</v>
      </c>
      <c r="B144" s="6">
        <v>5063.4399409999996</v>
      </c>
      <c r="C144" s="6">
        <v>5097.6899409999996</v>
      </c>
      <c r="D144" s="6">
        <v>5025.6098629999997</v>
      </c>
      <c r="E144" s="6">
        <v>5089.2099609999996</v>
      </c>
      <c r="F144" s="6">
        <v>5089.2099609999996</v>
      </c>
      <c r="G144" s="4">
        <v>2025110000</v>
      </c>
      <c r="H144">
        <f t="shared" si="2"/>
        <v>9.760216890270762E-3</v>
      </c>
    </row>
    <row r="145" spans="1:8" x14ac:dyDescent="0.3">
      <c r="A145" s="5">
        <v>42214</v>
      </c>
      <c r="B145" s="6">
        <v>5097.8598629999997</v>
      </c>
      <c r="C145" s="6">
        <v>5117.8398440000001</v>
      </c>
      <c r="D145" s="6">
        <v>5080.0400390000004</v>
      </c>
      <c r="E145" s="6">
        <v>5111.7299800000001</v>
      </c>
      <c r="F145" s="6">
        <v>5111.7299800000001</v>
      </c>
      <c r="G145" s="4">
        <v>1890350000</v>
      </c>
      <c r="H145">
        <f t="shared" si="2"/>
        <v>4.4152902998134897E-3</v>
      </c>
    </row>
    <row r="146" spans="1:8" x14ac:dyDescent="0.3">
      <c r="A146" s="5">
        <v>42215</v>
      </c>
      <c r="B146" s="6">
        <v>5100.2998049999997</v>
      </c>
      <c r="C146" s="6">
        <v>5135.6499020000001</v>
      </c>
      <c r="D146" s="6">
        <v>5070.6201170000004</v>
      </c>
      <c r="E146" s="6">
        <v>5128.7797849999997</v>
      </c>
      <c r="F146" s="6">
        <v>5128.7797849999997</v>
      </c>
      <c r="G146" s="4">
        <v>1908480000</v>
      </c>
      <c r="H146">
        <f t="shared" si="2"/>
        <v>3.3298773489592818E-3</v>
      </c>
    </row>
    <row r="147" spans="1:8" x14ac:dyDescent="0.3">
      <c r="A147" s="5">
        <v>42216</v>
      </c>
      <c r="B147" s="6">
        <v>5148.1801759999998</v>
      </c>
      <c r="C147" s="6">
        <v>5155.0200199999999</v>
      </c>
      <c r="D147" s="6">
        <v>5122.3701170000004</v>
      </c>
      <c r="E147" s="6">
        <v>5128.2797849999997</v>
      </c>
      <c r="F147" s="6">
        <v>5128.2797849999997</v>
      </c>
      <c r="G147" s="4">
        <v>1926360000</v>
      </c>
      <c r="H147">
        <f t="shared" si="2"/>
        <v>-9.7493827930639543E-5</v>
      </c>
    </row>
    <row r="148" spans="1:8" x14ac:dyDescent="0.3">
      <c r="A148" s="5">
        <v>42219</v>
      </c>
      <c r="B148" s="6">
        <v>5134.3398440000001</v>
      </c>
      <c r="C148" s="6">
        <v>5143.080078</v>
      </c>
      <c r="D148" s="6">
        <v>5082.3198240000002</v>
      </c>
      <c r="E148" s="6">
        <v>5115.3798829999996</v>
      </c>
      <c r="F148" s="6">
        <v>5115.3798829999996</v>
      </c>
      <c r="G148" s="4">
        <v>1790080000</v>
      </c>
      <c r="H148">
        <f t="shared" si="2"/>
        <v>-2.5186133153982378E-3</v>
      </c>
    </row>
    <row r="149" spans="1:8" x14ac:dyDescent="0.3">
      <c r="A149" s="5">
        <v>42220</v>
      </c>
      <c r="B149" s="6">
        <v>5110.9599609999996</v>
      </c>
      <c r="C149" s="6">
        <v>5125.8999020000001</v>
      </c>
      <c r="D149" s="6">
        <v>5092.4599609999996</v>
      </c>
      <c r="E149" s="6">
        <v>5105.5498049999997</v>
      </c>
      <c r="F149" s="6">
        <v>5105.5498049999997</v>
      </c>
      <c r="G149" s="4">
        <v>1819700000</v>
      </c>
      <c r="H149">
        <f t="shared" si="2"/>
        <v>-1.9235199401524848E-3</v>
      </c>
    </row>
    <row r="150" spans="1:8" x14ac:dyDescent="0.3">
      <c r="A150" s="5">
        <v>42221</v>
      </c>
      <c r="B150" s="6">
        <v>5132.7700199999999</v>
      </c>
      <c r="C150" s="6">
        <v>5175.2597660000001</v>
      </c>
      <c r="D150" s="6">
        <v>5131.8598629999997</v>
      </c>
      <c r="E150" s="6">
        <v>5139.9399409999996</v>
      </c>
      <c r="F150" s="6">
        <v>5139.9399409999996</v>
      </c>
      <c r="G150" s="4">
        <v>2041490000</v>
      </c>
      <c r="H150">
        <f t="shared" si="2"/>
        <v>6.7132496365860583E-3</v>
      </c>
    </row>
    <row r="151" spans="1:8" x14ac:dyDescent="0.3">
      <c r="A151" s="5">
        <v>42222</v>
      </c>
      <c r="B151" s="6">
        <v>5146.6298829999996</v>
      </c>
      <c r="C151" s="6">
        <v>5149.9301759999998</v>
      </c>
      <c r="D151" s="6">
        <v>5035.4101559999999</v>
      </c>
      <c r="E151" s="6">
        <v>5056.4399409999996</v>
      </c>
      <c r="F151" s="6">
        <v>5056.4399409999996</v>
      </c>
      <c r="G151" s="4">
        <v>2290950000</v>
      </c>
      <c r="H151">
        <f t="shared" si="2"/>
        <v>-1.6378728062217282E-2</v>
      </c>
    </row>
    <row r="152" spans="1:8" x14ac:dyDescent="0.3">
      <c r="A152" s="5">
        <v>42223</v>
      </c>
      <c r="B152" s="6">
        <v>5043.9702150000003</v>
      </c>
      <c r="C152" s="6">
        <v>5055.5600590000004</v>
      </c>
      <c r="D152" s="6">
        <v>5006.1499020000001</v>
      </c>
      <c r="E152" s="6">
        <v>5043.5400390000004</v>
      </c>
      <c r="F152" s="6">
        <v>5043.5400390000004</v>
      </c>
      <c r="G152" s="4">
        <v>2008360000</v>
      </c>
      <c r="H152">
        <f t="shared" si="2"/>
        <v>-2.5544424919761166E-3</v>
      </c>
    </row>
    <row r="153" spans="1:8" x14ac:dyDescent="0.3">
      <c r="A153" s="5">
        <v>42226</v>
      </c>
      <c r="B153" s="6">
        <v>5081.7202150000003</v>
      </c>
      <c r="C153" s="6">
        <v>5112.4702150000003</v>
      </c>
      <c r="D153" s="6">
        <v>5081.1098629999997</v>
      </c>
      <c r="E153" s="6">
        <v>5101.7998049999997</v>
      </c>
      <c r="F153" s="6">
        <v>5101.7998049999997</v>
      </c>
      <c r="G153" s="4">
        <v>1784930000</v>
      </c>
      <c r="H153">
        <f t="shared" si="2"/>
        <v>1.1485156201595728E-2</v>
      </c>
    </row>
    <row r="154" spans="1:8" x14ac:dyDescent="0.3">
      <c r="A154" s="5">
        <v>42227</v>
      </c>
      <c r="B154" s="6">
        <v>5069.1601559999999</v>
      </c>
      <c r="C154" s="6">
        <v>5089.330078</v>
      </c>
      <c r="D154" s="6">
        <v>5013.4501950000003</v>
      </c>
      <c r="E154" s="6">
        <v>5036.7900390000004</v>
      </c>
      <c r="F154" s="6">
        <v>5036.7900390000004</v>
      </c>
      <c r="G154" s="4">
        <v>1912340000</v>
      </c>
      <c r="H154">
        <f t="shared" si="2"/>
        <v>-1.2824398261459195E-2</v>
      </c>
    </row>
    <row r="155" spans="1:8" x14ac:dyDescent="0.3">
      <c r="A155" s="5">
        <v>42228</v>
      </c>
      <c r="B155" s="6">
        <v>4994.5200199999999</v>
      </c>
      <c r="C155" s="6">
        <v>5055.75</v>
      </c>
      <c r="D155" s="6">
        <v>4945.7900390000004</v>
      </c>
      <c r="E155" s="6">
        <v>5044.3901370000003</v>
      </c>
      <c r="F155" s="6">
        <v>5044.3901370000003</v>
      </c>
      <c r="G155" s="4">
        <v>2089460000</v>
      </c>
      <c r="H155">
        <f t="shared" si="2"/>
        <v>1.5077797057791182E-3</v>
      </c>
    </row>
    <row r="156" spans="1:8" x14ac:dyDescent="0.3">
      <c r="A156" s="5">
        <v>42229</v>
      </c>
      <c r="B156" s="6">
        <v>5050.9399409999996</v>
      </c>
      <c r="C156" s="6">
        <v>5071.4599609999996</v>
      </c>
      <c r="D156" s="6">
        <v>5029.6098629999997</v>
      </c>
      <c r="E156" s="6">
        <v>5033.5600590000004</v>
      </c>
      <c r="F156" s="6">
        <v>5033.5600590000004</v>
      </c>
      <c r="G156" s="4">
        <v>1632340000</v>
      </c>
      <c r="H156">
        <f t="shared" si="2"/>
        <v>-2.1492628874618547E-3</v>
      </c>
    </row>
    <row r="157" spans="1:8" x14ac:dyDescent="0.3">
      <c r="A157" s="5">
        <v>42230</v>
      </c>
      <c r="B157" s="6">
        <v>5025.919922</v>
      </c>
      <c r="C157" s="6">
        <v>5051.8901370000003</v>
      </c>
      <c r="D157" s="6">
        <v>5012.6098629999997</v>
      </c>
      <c r="E157" s="6">
        <v>5048.2402339999999</v>
      </c>
      <c r="F157" s="6">
        <v>5048.2402339999999</v>
      </c>
      <c r="G157" s="4">
        <v>1487630000</v>
      </c>
      <c r="H157">
        <f t="shared" si="2"/>
        <v>2.9122150704374715E-3</v>
      </c>
    </row>
    <row r="158" spans="1:8" x14ac:dyDescent="0.3">
      <c r="A158" s="5">
        <v>42233</v>
      </c>
      <c r="B158" s="6">
        <v>5032.3398440000001</v>
      </c>
      <c r="C158" s="6">
        <v>5092.6899409999996</v>
      </c>
      <c r="D158" s="6">
        <v>5022.419922</v>
      </c>
      <c r="E158" s="6">
        <v>5091.7001950000003</v>
      </c>
      <c r="F158" s="6">
        <v>5091.7001950000003</v>
      </c>
      <c r="G158" s="4">
        <v>1510790000</v>
      </c>
      <c r="H158">
        <f t="shared" si="2"/>
        <v>8.5720872674302211E-3</v>
      </c>
    </row>
    <row r="159" spans="1:8" x14ac:dyDescent="0.3">
      <c r="A159" s="5">
        <v>42234</v>
      </c>
      <c r="B159" s="6">
        <v>5082.169922</v>
      </c>
      <c r="C159" s="6">
        <v>5085.1401370000003</v>
      </c>
      <c r="D159" s="6">
        <v>5054.9702150000003</v>
      </c>
      <c r="E159" s="6">
        <v>5059.3500979999999</v>
      </c>
      <c r="F159" s="6">
        <v>5059.3500979999999</v>
      </c>
      <c r="G159" s="4">
        <v>1501540000</v>
      </c>
      <c r="H159">
        <f t="shared" si="2"/>
        <v>-6.3737653906576911E-3</v>
      </c>
    </row>
    <row r="160" spans="1:8" x14ac:dyDescent="0.3">
      <c r="A160" s="5">
        <v>42235</v>
      </c>
      <c r="B160" s="6">
        <v>5039.0297849999997</v>
      </c>
      <c r="C160" s="6">
        <v>5060.9301759999998</v>
      </c>
      <c r="D160" s="6">
        <v>4992.8500979999999</v>
      </c>
      <c r="E160" s="6">
        <v>5019.0498049999997</v>
      </c>
      <c r="F160" s="6">
        <v>5019.0498049999997</v>
      </c>
      <c r="G160" s="4">
        <v>1785420000</v>
      </c>
      <c r="H160">
        <f t="shared" si="2"/>
        <v>-7.9974020048745424E-3</v>
      </c>
    </row>
    <row r="161" spans="1:8" x14ac:dyDescent="0.3">
      <c r="A161" s="5">
        <v>42236</v>
      </c>
      <c r="B161" s="6">
        <v>4973.4902339999999</v>
      </c>
      <c r="C161" s="6">
        <v>4986.5097660000001</v>
      </c>
      <c r="D161" s="6">
        <v>4877.4902339999999</v>
      </c>
      <c r="E161" s="6">
        <v>4877.4902339999999</v>
      </c>
      <c r="F161" s="6">
        <v>4877.4902339999999</v>
      </c>
      <c r="G161" s="4">
        <v>2087000000</v>
      </c>
      <c r="H161">
        <f t="shared" si="2"/>
        <v>-2.860984265718235E-2</v>
      </c>
    </row>
    <row r="162" spans="1:8" x14ac:dyDescent="0.3">
      <c r="A162" s="5">
        <v>42237</v>
      </c>
      <c r="B162" s="6">
        <v>4801.0400390000004</v>
      </c>
      <c r="C162" s="6">
        <v>4856.75</v>
      </c>
      <c r="D162" s="6">
        <v>4706.0400390000004</v>
      </c>
      <c r="E162" s="6">
        <v>4706.0400390000004</v>
      </c>
      <c r="F162" s="6">
        <v>4706.0400390000004</v>
      </c>
      <c r="G162" s="4">
        <v>2768540000</v>
      </c>
      <c r="H162">
        <f t="shared" si="2"/>
        <v>-3.5783992914095501E-2</v>
      </c>
    </row>
    <row r="163" spans="1:8" x14ac:dyDescent="0.3">
      <c r="A163" s="5">
        <v>42240</v>
      </c>
      <c r="B163" s="6">
        <v>4351.6098629999997</v>
      </c>
      <c r="C163" s="6">
        <v>4694.8999020000001</v>
      </c>
      <c r="D163" s="6">
        <v>4292.1401370000003</v>
      </c>
      <c r="E163" s="6">
        <v>4526.25</v>
      </c>
      <c r="F163" s="6">
        <v>4526.25</v>
      </c>
      <c r="G163" s="4">
        <v>3508840000</v>
      </c>
      <c r="H163">
        <f t="shared" si="2"/>
        <v>-3.8953016246061581E-2</v>
      </c>
    </row>
    <row r="164" spans="1:8" x14ac:dyDescent="0.3">
      <c r="A164" s="5">
        <v>42241</v>
      </c>
      <c r="B164" s="6">
        <v>4687.2700199999999</v>
      </c>
      <c r="C164" s="6">
        <v>4689.5400390000004</v>
      </c>
      <c r="D164" s="6">
        <v>4506.1000979999999</v>
      </c>
      <c r="E164" s="6">
        <v>4506.4902339999999</v>
      </c>
      <c r="F164" s="6">
        <v>4506.4902339999999</v>
      </c>
      <c r="G164" s="4">
        <v>2612800000</v>
      </c>
      <c r="H164">
        <f t="shared" si="2"/>
        <v>-4.3751501777128561E-3</v>
      </c>
    </row>
    <row r="165" spans="1:8" x14ac:dyDescent="0.3">
      <c r="A165" s="5">
        <v>42242</v>
      </c>
      <c r="B165" s="6">
        <v>4633.5097660000001</v>
      </c>
      <c r="C165" s="6">
        <v>4703.9702150000003</v>
      </c>
      <c r="D165" s="6">
        <v>4530.0297849999997</v>
      </c>
      <c r="E165" s="6">
        <v>4697.5400390000004</v>
      </c>
      <c r="F165" s="6">
        <v>4697.5400390000004</v>
      </c>
      <c r="G165" s="4">
        <v>2631660000</v>
      </c>
      <c r="H165">
        <f t="shared" si="2"/>
        <v>4.1520343819088777E-2</v>
      </c>
    </row>
    <row r="166" spans="1:8" x14ac:dyDescent="0.3">
      <c r="A166" s="5">
        <v>42243</v>
      </c>
      <c r="B166" s="6">
        <v>4761.0498049999997</v>
      </c>
      <c r="C166" s="6">
        <v>4818.7099609999996</v>
      </c>
      <c r="D166" s="6">
        <v>4721.7900390000004</v>
      </c>
      <c r="E166" s="6">
        <v>4812.7099609999996</v>
      </c>
      <c r="F166" s="6">
        <v>4812.7099609999996</v>
      </c>
      <c r="G166" s="4">
        <v>2368880000</v>
      </c>
      <c r="H166">
        <f t="shared" si="2"/>
        <v>2.4221351182868268E-2</v>
      </c>
    </row>
    <row r="167" spans="1:8" x14ac:dyDescent="0.3">
      <c r="A167" s="5">
        <v>42244</v>
      </c>
      <c r="B167" s="6">
        <v>4792.1098629999997</v>
      </c>
      <c r="C167" s="6">
        <v>4836.7797849999997</v>
      </c>
      <c r="D167" s="6">
        <v>4788.3798829999996</v>
      </c>
      <c r="E167" s="6">
        <v>4828.3198240000002</v>
      </c>
      <c r="F167" s="6">
        <v>4828.3198240000002</v>
      </c>
      <c r="G167" s="4">
        <v>1936540000</v>
      </c>
      <c r="H167">
        <f t="shared" si="2"/>
        <v>3.2382176984399763E-3</v>
      </c>
    </row>
    <row r="168" spans="1:8" x14ac:dyDescent="0.3">
      <c r="A168" s="5">
        <v>42247</v>
      </c>
      <c r="B168" s="6">
        <v>4798.6801759999998</v>
      </c>
      <c r="C168" s="6">
        <v>4824.6098629999997</v>
      </c>
      <c r="D168" s="6">
        <v>4763.419922</v>
      </c>
      <c r="E168" s="6">
        <v>4776.5097660000001</v>
      </c>
      <c r="F168" s="6">
        <v>4776.5097660000001</v>
      </c>
      <c r="G168" s="4">
        <v>1839010000</v>
      </c>
      <c r="H168">
        <f t="shared" si="2"/>
        <v>-1.0788439301240602E-2</v>
      </c>
    </row>
    <row r="169" spans="1:8" x14ac:dyDescent="0.3">
      <c r="A169" s="5">
        <v>42248</v>
      </c>
      <c r="B169" s="6">
        <v>4673.6098629999997</v>
      </c>
      <c r="C169" s="6">
        <v>4722.1298829999996</v>
      </c>
      <c r="D169" s="6">
        <v>4614.9101559999999</v>
      </c>
      <c r="E169" s="6">
        <v>4636.1000979999999</v>
      </c>
      <c r="F169" s="6">
        <v>4636.1000979999999</v>
      </c>
      <c r="G169" s="4">
        <v>2253750000</v>
      </c>
      <c r="H169">
        <f t="shared" si="2"/>
        <v>-2.9836588616590703E-2</v>
      </c>
    </row>
    <row r="170" spans="1:8" x14ac:dyDescent="0.3">
      <c r="A170" s="5">
        <v>42249</v>
      </c>
      <c r="B170" s="6">
        <v>4704.419922</v>
      </c>
      <c r="C170" s="6">
        <v>4749.9799800000001</v>
      </c>
      <c r="D170" s="6">
        <v>4659.4101559999999</v>
      </c>
      <c r="E170" s="6">
        <v>4749.9799800000001</v>
      </c>
      <c r="F170" s="6">
        <v>4749.9799800000001</v>
      </c>
      <c r="G170" s="4">
        <v>1929080000</v>
      </c>
      <c r="H170">
        <f t="shared" si="2"/>
        <v>2.4266886598259176E-2</v>
      </c>
    </row>
    <row r="171" spans="1:8" x14ac:dyDescent="0.3">
      <c r="A171" s="5">
        <v>42250</v>
      </c>
      <c r="B171" s="6">
        <v>4763.1000979999999</v>
      </c>
      <c r="C171" s="6">
        <v>4800.1801759999998</v>
      </c>
      <c r="D171" s="6">
        <v>4721.9101559999999</v>
      </c>
      <c r="E171" s="6">
        <v>4733.5</v>
      </c>
      <c r="F171" s="6">
        <v>4733.5</v>
      </c>
      <c r="G171" s="4">
        <v>1803320000</v>
      </c>
      <c r="H171">
        <f t="shared" si="2"/>
        <v>-3.4755167140169078E-3</v>
      </c>
    </row>
    <row r="172" spans="1:8" x14ac:dyDescent="0.3">
      <c r="A172" s="5">
        <v>42251</v>
      </c>
      <c r="B172" s="6">
        <v>4670.3500979999999</v>
      </c>
      <c r="C172" s="6">
        <v>4712.669922</v>
      </c>
      <c r="D172" s="6">
        <v>4657.8198240000002</v>
      </c>
      <c r="E172" s="6">
        <v>4683.919922</v>
      </c>
      <c r="F172" s="6">
        <v>4683.919922</v>
      </c>
      <c r="G172" s="4">
        <v>1574720000</v>
      </c>
      <c r="H172">
        <f t="shared" si="2"/>
        <v>-1.0529537069211047E-2</v>
      </c>
    </row>
    <row r="173" spans="1:8" x14ac:dyDescent="0.3">
      <c r="A173" s="5">
        <v>42255</v>
      </c>
      <c r="B173" s="6">
        <v>4769.7202150000003</v>
      </c>
      <c r="C173" s="6">
        <v>4815.0400390000004</v>
      </c>
      <c r="D173" s="6">
        <v>4754.8901370000003</v>
      </c>
      <c r="E173" s="6">
        <v>4811.9301759999998</v>
      </c>
      <c r="F173" s="6">
        <v>4811.9301759999998</v>
      </c>
      <c r="G173" s="4">
        <v>1765600000</v>
      </c>
      <c r="H173">
        <f t="shared" si="2"/>
        <v>2.6962938098867791E-2</v>
      </c>
    </row>
    <row r="174" spans="1:8" x14ac:dyDescent="0.3">
      <c r="A174" s="5">
        <v>42256</v>
      </c>
      <c r="B174" s="6">
        <v>4856.2700199999999</v>
      </c>
      <c r="C174" s="6">
        <v>4862.8798829999996</v>
      </c>
      <c r="D174" s="6">
        <v>4746.7299800000001</v>
      </c>
      <c r="E174" s="6">
        <v>4756.5297849999997</v>
      </c>
      <c r="F174" s="6">
        <v>4756.5297849999997</v>
      </c>
      <c r="G174" s="4">
        <v>1963750000</v>
      </c>
      <c r="H174">
        <f t="shared" si="2"/>
        <v>-1.1579922014375573E-2</v>
      </c>
    </row>
    <row r="175" spans="1:8" x14ac:dyDescent="0.3">
      <c r="A175" s="5">
        <v>42257</v>
      </c>
      <c r="B175" s="6">
        <v>4749.9599609999996</v>
      </c>
      <c r="C175" s="6">
        <v>4826.330078</v>
      </c>
      <c r="D175" s="6">
        <v>4746.5200199999999</v>
      </c>
      <c r="E175" s="6">
        <v>4796.25</v>
      </c>
      <c r="F175" s="6">
        <v>4796.25</v>
      </c>
      <c r="G175" s="4">
        <v>1845770000</v>
      </c>
      <c r="H175">
        <f t="shared" si="2"/>
        <v>8.3159969769349903E-3</v>
      </c>
    </row>
    <row r="176" spans="1:8" x14ac:dyDescent="0.3">
      <c r="A176" s="5">
        <v>42258</v>
      </c>
      <c r="B176" s="6">
        <v>4770.7299800000001</v>
      </c>
      <c r="C176" s="6">
        <v>4822.3398440000001</v>
      </c>
      <c r="D176" s="6">
        <v>4763.1499020000001</v>
      </c>
      <c r="E176" s="6">
        <v>4822.3398440000001</v>
      </c>
      <c r="F176" s="6">
        <v>4822.3398440000001</v>
      </c>
      <c r="G176" s="4">
        <v>1686190000</v>
      </c>
      <c r="H176">
        <f t="shared" si="2"/>
        <v>5.4248925065474201E-3</v>
      </c>
    </row>
    <row r="177" spans="1:8" x14ac:dyDescent="0.3">
      <c r="A177" s="5">
        <v>42261</v>
      </c>
      <c r="B177" s="6">
        <v>4831.9799800000001</v>
      </c>
      <c r="C177" s="6">
        <v>4832</v>
      </c>
      <c r="D177" s="6">
        <v>4791.080078</v>
      </c>
      <c r="E177" s="6">
        <v>4805.7597660000001</v>
      </c>
      <c r="F177" s="6">
        <v>4805.7597660000001</v>
      </c>
      <c r="G177" s="4">
        <v>1467740000</v>
      </c>
      <c r="H177">
        <f t="shared" si="2"/>
        <v>-3.4441052878164172E-3</v>
      </c>
    </row>
    <row r="178" spans="1:8" x14ac:dyDescent="0.3">
      <c r="A178" s="5">
        <v>42262</v>
      </c>
      <c r="B178" s="6">
        <v>4819.3198240000002</v>
      </c>
      <c r="C178" s="6">
        <v>4872.3500979999999</v>
      </c>
      <c r="D178" s="6">
        <v>4802.0898440000001</v>
      </c>
      <c r="E178" s="6">
        <v>4860.5200199999999</v>
      </c>
      <c r="F178" s="6">
        <v>4860.5200199999999</v>
      </c>
      <c r="G178" s="4">
        <v>1587460000</v>
      </c>
      <c r="H178">
        <f t="shared" si="2"/>
        <v>1.1330282390554584E-2</v>
      </c>
    </row>
    <row r="179" spans="1:8" x14ac:dyDescent="0.3">
      <c r="A179" s="5">
        <v>42263</v>
      </c>
      <c r="B179" s="6">
        <v>4860.4301759999998</v>
      </c>
      <c r="C179" s="6">
        <v>4893.4399409999996</v>
      </c>
      <c r="D179" s="6">
        <v>4848.1499020000001</v>
      </c>
      <c r="E179" s="6">
        <v>4889.2402339999999</v>
      </c>
      <c r="F179" s="6">
        <v>4889.2402339999999</v>
      </c>
      <c r="G179" s="4">
        <v>1666380000</v>
      </c>
      <c r="H179">
        <f t="shared" si="2"/>
        <v>5.8914878569450435E-3</v>
      </c>
    </row>
    <row r="180" spans="1:8" x14ac:dyDescent="0.3">
      <c r="A180" s="5">
        <v>42264</v>
      </c>
      <c r="B180" s="6">
        <v>4884.1098629999997</v>
      </c>
      <c r="C180" s="6">
        <v>4960.8701170000004</v>
      </c>
      <c r="D180" s="6">
        <v>4880.5</v>
      </c>
      <c r="E180" s="6">
        <v>4893.9501950000003</v>
      </c>
      <c r="F180" s="6">
        <v>4893.9501950000003</v>
      </c>
      <c r="G180" s="4">
        <v>1891510000</v>
      </c>
      <c r="H180">
        <f t="shared" si="2"/>
        <v>9.6286817640352988E-4</v>
      </c>
    </row>
    <row r="181" spans="1:8" x14ac:dyDescent="0.3">
      <c r="A181" s="5">
        <v>42265</v>
      </c>
      <c r="B181" s="6">
        <v>4828.7099609999996</v>
      </c>
      <c r="C181" s="6">
        <v>4878.7099609999996</v>
      </c>
      <c r="D181" s="6">
        <v>4819.0898440000001</v>
      </c>
      <c r="E181" s="6">
        <v>4827.2299800000001</v>
      </c>
      <c r="F181" s="6">
        <v>4827.2299800000001</v>
      </c>
      <c r="G181" s="4">
        <v>3272150000</v>
      </c>
      <c r="H181">
        <f t="shared" si="2"/>
        <v>-1.372698817857739E-2</v>
      </c>
    </row>
    <row r="182" spans="1:8" x14ac:dyDescent="0.3">
      <c r="A182" s="5">
        <v>42268</v>
      </c>
      <c r="B182" s="6">
        <v>4851.9799800000001</v>
      </c>
      <c r="C182" s="6">
        <v>4881.4599609999996</v>
      </c>
      <c r="D182" s="6">
        <v>4795.9101559999999</v>
      </c>
      <c r="E182" s="6">
        <v>4828.9501950000003</v>
      </c>
      <c r="F182" s="6">
        <v>4828.9501950000003</v>
      </c>
      <c r="G182" s="4">
        <v>2021530000</v>
      </c>
      <c r="H182">
        <f t="shared" si="2"/>
        <v>3.5629306558548462E-4</v>
      </c>
    </row>
    <row r="183" spans="1:8" x14ac:dyDescent="0.3">
      <c r="A183" s="5">
        <v>42269</v>
      </c>
      <c r="B183" s="6">
        <v>4762.2900390000004</v>
      </c>
      <c r="C183" s="6">
        <v>4776.2797849999997</v>
      </c>
      <c r="D183" s="6">
        <v>4716.9101559999999</v>
      </c>
      <c r="E183" s="6">
        <v>4756.7202150000003</v>
      </c>
      <c r="F183" s="6">
        <v>4756.7202150000003</v>
      </c>
      <c r="G183" s="4">
        <v>2042880000</v>
      </c>
      <c r="H183">
        <f t="shared" si="2"/>
        <v>-1.5070692818110914E-2</v>
      </c>
    </row>
    <row r="184" spans="1:8" x14ac:dyDescent="0.3">
      <c r="A184" s="5">
        <v>42270</v>
      </c>
      <c r="B184" s="6">
        <v>4764.6899409999996</v>
      </c>
      <c r="C184" s="6">
        <v>4780.6401370000003</v>
      </c>
      <c r="D184" s="6">
        <v>4735.1298829999996</v>
      </c>
      <c r="E184" s="6">
        <v>4752.7402339999999</v>
      </c>
      <c r="F184" s="6">
        <v>4752.7402339999999</v>
      </c>
      <c r="G184" s="4">
        <v>1606330000</v>
      </c>
      <c r="H184">
        <f t="shared" si="2"/>
        <v>-8.3705721344156454E-4</v>
      </c>
    </row>
    <row r="185" spans="1:8" x14ac:dyDescent="0.3">
      <c r="A185" s="5">
        <v>42271</v>
      </c>
      <c r="B185" s="6">
        <v>4717.8901370000003</v>
      </c>
      <c r="C185" s="6">
        <v>4746.2099609999996</v>
      </c>
      <c r="D185" s="6">
        <v>4670.1201170000004</v>
      </c>
      <c r="E185" s="6">
        <v>4734.4799800000001</v>
      </c>
      <c r="F185" s="6">
        <v>4734.4799800000001</v>
      </c>
      <c r="G185" s="4">
        <v>1995820000</v>
      </c>
      <c r="H185">
        <f t="shared" si="2"/>
        <v>-3.849447179857606E-3</v>
      </c>
    </row>
    <row r="186" spans="1:8" x14ac:dyDescent="0.3">
      <c r="A186" s="5">
        <v>42272</v>
      </c>
      <c r="B186" s="6">
        <v>4782.4101559999999</v>
      </c>
      <c r="C186" s="6">
        <v>4785.2202150000003</v>
      </c>
      <c r="D186" s="6">
        <v>4659.4799800000001</v>
      </c>
      <c r="E186" s="6">
        <v>4686.5</v>
      </c>
      <c r="F186" s="6">
        <v>4686.5</v>
      </c>
      <c r="G186" s="4">
        <v>2050530000</v>
      </c>
      <c r="H186">
        <f t="shared" si="2"/>
        <v>-1.0185860692853779E-2</v>
      </c>
    </row>
    <row r="187" spans="1:8" x14ac:dyDescent="0.3">
      <c r="A187" s="5">
        <v>42275</v>
      </c>
      <c r="B187" s="6">
        <v>4665.0600590000004</v>
      </c>
      <c r="C187" s="6">
        <v>4665.2099609999996</v>
      </c>
      <c r="D187" s="6">
        <v>4529.4101559999999</v>
      </c>
      <c r="E187" s="6">
        <v>4543.9702150000003</v>
      </c>
      <c r="F187" s="6">
        <v>4543.9702150000003</v>
      </c>
      <c r="G187" s="4">
        <v>2387610000</v>
      </c>
      <c r="H187">
        <f t="shared" si="2"/>
        <v>-3.0884908604571194E-2</v>
      </c>
    </row>
    <row r="188" spans="1:8" x14ac:dyDescent="0.3">
      <c r="A188" s="5">
        <v>42276</v>
      </c>
      <c r="B188" s="6">
        <v>4551.0400390000004</v>
      </c>
      <c r="C188" s="6">
        <v>4596.0600590000004</v>
      </c>
      <c r="D188" s="6">
        <v>4487.0600590000004</v>
      </c>
      <c r="E188" s="6">
        <v>4517.3198240000002</v>
      </c>
      <c r="F188" s="6">
        <v>4517.3198240000002</v>
      </c>
      <c r="G188" s="4">
        <v>2293450000</v>
      </c>
      <c r="H188">
        <f t="shared" si="2"/>
        <v>-5.8822679176147759E-3</v>
      </c>
    </row>
    <row r="189" spans="1:8" x14ac:dyDescent="0.3">
      <c r="A189" s="5">
        <v>42277</v>
      </c>
      <c r="B189" s="6">
        <v>4574.3798829999996</v>
      </c>
      <c r="C189" s="6">
        <v>4620.1601559999999</v>
      </c>
      <c r="D189" s="6">
        <v>4559.1801759999998</v>
      </c>
      <c r="E189" s="6">
        <v>4620.1601559999999</v>
      </c>
      <c r="F189" s="6">
        <v>4620.1601559999999</v>
      </c>
      <c r="G189" s="4">
        <v>2398350000</v>
      </c>
      <c r="H189">
        <f t="shared" si="2"/>
        <v>2.2510511611450741E-2</v>
      </c>
    </row>
    <row r="190" spans="1:8" x14ac:dyDescent="0.3">
      <c r="A190" s="5">
        <v>42278</v>
      </c>
      <c r="B190" s="6">
        <v>4624.4599609999996</v>
      </c>
      <c r="C190" s="6">
        <v>4628.2299800000001</v>
      </c>
      <c r="D190" s="6">
        <v>4559.2099609999996</v>
      </c>
      <c r="E190" s="6">
        <v>4627.080078</v>
      </c>
      <c r="F190" s="6">
        <v>4627.080078</v>
      </c>
      <c r="G190" s="4">
        <v>2133990000</v>
      </c>
      <c r="H190">
        <f t="shared" si="2"/>
        <v>1.4966461596285527E-3</v>
      </c>
    </row>
    <row r="191" spans="1:8" x14ac:dyDescent="0.3">
      <c r="A191" s="5">
        <v>42279</v>
      </c>
      <c r="B191" s="6">
        <v>4566.1298829999996</v>
      </c>
      <c r="C191" s="6">
        <v>4707.7797849999997</v>
      </c>
      <c r="D191" s="6">
        <v>4552.3398440000001</v>
      </c>
      <c r="E191" s="6">
        <v>4707.7797849999997</v>
      </c>
      <c r="F191" s="6">
        <v>4707.7797849999997</v>
      </c>
      <c r="G191" s="4">
        <v>2183320000</v>
      </c>
      <c r="H191">
        <f t="shared" si="2"/>
        <v>1.729039721185327E-2</v>
      </c>
    </row>
    <row r="192" spans="1:8" x14ac:dyDescent="0.3">
      <c r="A192" s="5">
        <v>42282</v>
      </c>
      <c r="B192" s="6">
        <v>4742.1298829999996</v>
      </c>
      <c r="C192" s="6">
        <v>4785.9101559999999</v>
      </c>
      <c r="D192" s="6">
        <v>4740.2402339999999</v>
      </c>
      <c r="E192" s="6">
        <v>4781.2597660000001</v>
      </c>
      <c r="F192" s="6">
        <v>4781.2597660000001</v>
      </c>
      <c r="G192" s="4">
        <v>2005320000</v>
      </c>
      <c r="H192">
        <f t="shared" si="2"/>
        <v>1.5487647487564296E-2</v>
      </c>
    </row>
    <row r="193" spans="1:8" x14ac:dyDescent="0.3">
      <c r="A193" s="5">
        <v>42283</v>
      </c>
      <c r="B193" s="6">
        <v>4767.6298829999996</v>
      </c>
      <c r="C193" s="6">
        <v>4783.3701170000004</v>
      </c>
      <c r="D193" s="6">
        <v>4711.7900390000004</v>
      </c>
      <c r="E193" s="6">
        <v>4748.3598629999997</v>
      </c>
      <c r="F193" s="6">
        <v>4748.3598629999997</v>
      </c>
      <c r="G193" s="4">
        <v>2085020000</v>
      </c>
      <c r="H193">
        <f t="shared" si="2"/>
        <v>-6.9047947331734756E-3</v>
      </c>
    </row>
    <row r="194" spans="1:8" x14ac:dyDescent="0.3">
      <c r="A194" s="5">
        <v>42284</v>
      </c>
      <c r="B194" s="6">
        <v>4775.0498049999997</v>
      </c>
      <c r="C194" s="6">
        <v>4791.1499020000001</v>
      </c>
      <c r="D194" s="6">
        <v>4728.7099609999996</v>
      </c>
      <c r="E194" s="6">
        <v>4791.1499020000001</v>
      </c>
      <c r="F194" s="6">
        <v>4791.1499020000001</v>
      </c>
      <c r="G194" s="4">
        <v>2149890000</v>
      </c>
      <c r="H194">
        <f t="shared" si="2"/>
        <v>8.9711792407769775E-3</v>
      </c>
    </row>
    <row r="195" spans="1:8" x14ac:dyDescent="0.3">
      <c r="A195" s="5">
        <v>42285</v>
      </c>
      <c r="B195" s="6">
        <v>4775.0600590000004</v>
      </c>
      <c r="C195" s="6">
        <v>4819.0698240000002</v>
      </c>
      <c r="D195" s="6">
        <v>4737.9301759999998</v>
      </c>
      <c r="E195" s="6">
        <v>4810.7900390000004</v>
      </c>
      <c r="F195" s="6">
        <v>4810.7900390000004</v>
      </c>
      <c r="G195" s="4">
        <v>1984230000</v>
      </c>
      <c r="H195">
        <f t="shared" si="2"/>
        <v>4.0908742422663437E-3</v>
      </c>
    </row>
    <row r="196" spans="1:8" x14ac:dyDescent="0.3">
      <c r="A196" s="5">
        <v>42286</v>
      </c>
      <c r="B196" s="6">
        <v>4817.2797849999997</v>
      </c>
      <c r="C196" s="6">
        <v>4841.3798829999996</v>
      </c>
      <c r="D196" s="6">
        <v>4804.5898440000001</v>
      </c>
      <c r="E196" s="6">
        <v>4830.4702150000003</v>
      </c>
      <c r="F196" s="6">
        <v>4830.4702150000003</v>
      </c>
      <c r="G196" s="4">
        <v>1804260000</v>
      </c>
      <c r="H196">
        <f t="shared" ref="H196:H259" si="3">LN(E196/E195)</f>
        <v>4.0824960254715837E-3</v>
      </c>
    </row>
    <row r="197" spans="1:8" x14ac:dyDescent="0.3">
      <c r="A197" s="5">
        <v>42289</v>
      </c>
      <c r="B197" s="6">
        <v>4839.7900390000004</v>
      </c>
      <c r="C197" s="6">
        <v>4846.7402339999999</v>
      </c>
      <c r="D197" s="6">
        <v>4818.169922</v>
      </c>
      <c r="E197" s="6">
        <v>4838.6401370000003</v>
      </c>
      <c r="F197" s="6">
        <v>4838.6401370000003</v>
      </c>
      <c r="G197" s="4">
        <v>1343820000</v>
      </c>
      <c r="H197">
        <f t="shared" si="3"/>
        <v>1.6899018931135015E-3</v>
      </c>
    </row>
    <row r="198" spans="1:8" x14ac:dyDescent="0.3">
      <c r="A198" s="5">
        <v>42290</v>
      </c>
      <c r="B198" s="6">
        <v>4809.2402339999999</v>
      </c>
      <c r="C198" s="6">
        <v>4858.2797849999997</v>
      </c>
      <c r="D198" s="6">
        <v>4793.919922</v>
      </c>
      <c r="E198" s="6">
        <v>4796.6098629999997</v>
      </c>
      <c r="F198" s="6">
        <v>4796.6098629999997</v>
      </c>
      <c r="G198" s="4">
        <v>1565060000</v>
      </c>
      <c r="H198">
        <f t="shared" si="3"/>
        <v>-8.7243279811797161E-3</v>
      </c>
    </row>
    <row r="199" spans="1:8" x14ac:dyDescent="0.3">
      <c r="A199" s="5">
        <v>42291</v>
      </c>
      <c r="B199" s="6">
        <v>4801.3500979999999</v>
      </c>
      <c r="C199" s="6">
        <v>4820.0898440000001</v>
      </c>
      <c r="D199" s="6">
        <v>4771.6201170000004</v>
      </c>
      <c r="E199" s="6">
        <v>4782.8500979999999</v>
      </c>
      <c r="F199" s="6">
        <v>4782.8500979999999</v>
      </c>
      <c r="G199" s="4">
        <v>1902460000</v>
      </c>
      <c r="H199">
        <f t="shared" si="3"/>
        <v>-2.8727662141811764E-3</v>
      </c>
    </row>
    <row r="200" spans="1:8" x14ac:dyDescent="0.3">
      <c r="A200" s="5">
        <v>42292</v>
      </c>
      <c r="B200" s="6">
        <v>4799.4301759999998</v>
      </c>
      <c r="C200" s="6">
        <v>4870.1000979999999</v>
      </c>
      <c r="D200" s="6">
        <v>4795.2900390000004</v>
      </c>
      <c r="E200" s="6">
        <v>4870.1000979999999</v>
      </c>
      <c r="F200" s="6">
        <v>4870.1000979999999</v>
      </c>
      <c r="G200" s="4">
        <v>1942900000</v>
      </c>
      <c r="H200">
        <f t="shared" si="3"/>
        <v>1.8077867261566079E-2</v>
      </c>
    </row>
    <row r="201" spans="1:8" x14ac:dyDescent="0.3">
      <c r="A201" s="5">
        <v>42293</v>
      </c>
      <c r="B201" s="6">
        <v>4872.3598629999997</v>
      </c>
      <c r="C201" s="6">
        <v>4886.9501950000003</v>
      </c>
      <c r="D201" s="6">
        <v>4851.2797849999997</v>
      </c>
      <c r="E201" s="6">
        <v>4886.6899409999996</v>
      </c>
      <c r="F201" s="6">
        <v>4886.6899409999996</v>
      </c>
      <c r="G201" s="4">
        <v>1855290000</v>
      </c>
      <c r="H201">
        <f t="shared" si="3"/>
        <v>3.4006797156898028E-3</v>
      </c>
    </row>
    <row r="202" spans="1:8" x14ac:dyDescent="0.3">
      <c r="A202" s="5">
        <v>42296</v>
      </c>
      <c r="B202" s="6">
        <v>4873.5400390000004</v>
      </c>
      <c r="C202" s="6">
        <v>4915.4902339999999</v>
      </c>
      <c r="D202" s="6">
        <v>4865.830078</v>
      </c>
      <c r="E202" s="6">
        <v>4905.4702150000003</v>
      </c>
      <c r="F202" s="6">
        <v>4905.4702150000003</v>
      </c>
      <c r="G202" s="4">
        <v>1619920000</v>
      </c>
      <c r="H202">
        <f t="shared" si="3"/>
        <v>3.8357822436189981E-3</v>
      </c>
    </row>
    <row r="203" spans="1:8" x14ac:dyDescent="0.3">
      <c r="A203" s="5">
        <v>42297</v>
      </c>
      <c r="B203" s="6">
        <v>4900.0200199999999</v>
      </c>
      <c r="C203" s="6">
        <v>4909.3701170000004</v>
      </c>
      <c r="D203" s="6">
        <v>4866.6000979999999</v>
      </c>
      <c r="E203" s="6">
        <v>4880.9702150000003</v>
      </c>
      <c r="F203" s="6">
        <v>4880.9702150000003</v>
      </c>
      <c r="G203" s="4">
        <v>1711700000</v>
      </c>
      <c r="H203">
        <f t="shared" si="3"/>
        <v>-5.0069381934404363E-3</v>
      </c>
    </row>
    <row r="204" spans="1:8" x14ac:dyDescent="0.3">
      <c r="A204" s="5">
        <v>42298</v>
      </c>
      <c r="B204" s="6">
        <v>4903.9799800000001</v>
      </c>
      <c r="C204" s="6">
        <v>4904.8500979999999</v>
      </c>
      <c r="D204" s="6">
        <v>4836.4599609999996</v>
      </c>
      <c r="E204" s="6">
        <v>4840.1201170000004</v>
      </c>
      <c r="F204" s="6">
        <v>4840.1201170000004</v>
      </c>
      <c r="G204" s="4">
        <v>1895390000</v>
      </c>
      <c r="H204">
        <f t="shared" si="3"/>
        <v>-8.4044766706695764E-3</v>
      </c>
    </row>
    <row r="205" spans="1:8" x14ac:dyDescent="0.3">
      <c r="A205" s="5">
        <v>42299</v>
      </c>
      <c r="B205" s="6">
        <v>4875.9599609999996</v>
      </c>
      <c r="C205" s="6">
        <v>4926.9902339999999</v>
      </c>
      <c r="D205" s="6">
        <v>4861.7998049999997</v>
      </c>
      <c r="E205" s="6">
        <v>4920.0498049999997</v>
      </c>
      <c r="F205" s="6">
        <v>4920.0498049999997</v>
      </c>
      <c r="G205" s="4">
        <v>2156040000</v>
      </c>
      <c r="H205">
        <f t="shared" si="3"/>
        <v>1.6379115437886265E-2</v>
      </c>
    </row>
    <row r="206" spans="1:8" x14ac:dyDescent="0.3">
      <c r="A206" s="5">
        <v>42300</v>
      </c>
      <c r="B206" s="6">
        <v>5024.3798829999996</v>
      </c>
      <c r="C206" s="6">
        <v>5048.5498049999997</v>
      </c>
      <c r="D206" s="6">
        <v>4999.5400390000004</v>
      </c>
      <c r="E206" s="6">
        <v>5031.8598629999997</v>
      </c>
      <c r="F206" s="6">
        <v>5031.8598629999997</v>
      </c>
      <c r="G206" s="4">
        <v>2178270000</v>
      </c>
      <c r="H206">
        <f t="shared" si="3"/>
        <v>2.2471016424542845E-2</v>
      </c>
    </row>
    <row r="207" spans="1:8" x14ac:dyDescent="0.3">
      <c r="A207" s="5">
        <v>42303</v>
      </c>
      <c r="B207" s="6">
        <v>5030.7998049999997</v>
      </c>
      <c r="C207" s="6">
        <v>5045.1601559999999</v>
      </c>
      <c r="D207" s="6">
        <v>5012.7402339999999</v>
      </c>
      <c r="E207" s="6">
        <v>5034.7001950000003</v>
      </c>
      <c r="F207" s="6">
        <v>5034.7001950000003</v>
      </c>
      <c r="G207" s="4">
        <v>1758690000</v>
      </c>
      <c r="H207">
        <f t="shared" si="3"/>
        <v>5.6431036203228918E-4</v>
      </c>
    </row>
    <row r="208" spans="1:8" x14ac:dyDescent="0.3">
      <c r="A208" s="5">
        <v>42304</v>
      </c>
      <c r="B208" s="6">
        <v>5018.9902339999999</v>
      </c>
      <c r="C208" s="6">
        <v>5040.080078</v>
      </c>
      <c r="D208" s="6">
        <v>5009.0698240000002</v>
      </c>
      <c r="E208" s="6">
        <v>5030.1499020000001</v>
      </c>
      <c r="F208" s="6">
        <v>5030.1499020000001</v>
      </c>
      <c r="G208" s="4">
        <v>1986840000</v>
      </c>
      <c r="H208">
        <f t="shared" si="3"/>
        <v>-9.0419494898805793E-4</v>
      </c>
    </row>
    <row r="209" spans="1:8" x14ac:dyDescent="0.3">
      <c r="A209" s="5">
        <v>42305</v>
      </c>
      <c r="B209" s="6">
        <v>5040.3798829999996</v>
      </c>
      <c r="C209" s="6">
        <v>5095.6899409999996</v>
      </c>
      <c r="D209" s="6">
        <v>5019.6000979999999</v>
      </c>
      <c r="E209" s="6">
        <v>5095.6899409999996</v>
      </c>
      <c r="F209" s="6">
        <v>5095.6899409999996</v>
      </c>
      <c r="G209" s="4">
        <v>2141130000</v>
      </c>
      <c r="H209">
        <f t="shared" si="3"/>
        <v>1.2945287557942876E-2</v>
      </c>
    </row>
    <row r="210" spans="1:8" x14ac:dyDescent="0.3">
      <c r="A210" s="5">
        <v>42306</v>
      </c>
      <c r="B210" s="6">
        <v>5071.0400390000004</v>
      </c>
      <c r="C210" s="6">
        <v>5084.6298829999996</v>
      </c>
      <c r="D210" s="6">
        <v>5066.8901370000003</v>
      </c>
      <c r="E210" s="6">
        <v>5074.2700199999999</v>
      </c>
      <c r="F210" s="6">
        <v>5074.2700199999999</v>
      </c>
      <c r="G210" s="4">
        <v>1928310000</v>
      </c>
      <c r="H210">
        <f t="shared" si="3"/>
        <v>-4.2123966575218115E-3</v>
      </c>
    </row>
    <row r="211" spans="1:8" x14ac:dyDescent="0.3">
      <c r="A211" s="5">
        <v>42307</v>
      </c>
      <c r="B211" s="6">
        <v>5079.7597660000001</v>
      </c>
      <c r="C211" s="6">
        <v>5085.2202150000003</v>
      </c>
      <c r="D211" s="6">
        <v>5053.75</v>
      </c>
      <c r="E211" s="6">
        <v>5053.75</v>
      </c>
      <c r="F211" s="6">
        <v>5053.75</v>
      </c>
      <c r="G211" s="4">
        <v>2016390000</v>
      </c>
      <c r="H211">
        <f t="shared" si="3"/>
        <v>-4.0521341856240255E-3</v>
      </c>
    </row>
    <row r="212" spans="1:8" x14ac:dyDescent="0.3">
      <c r="A212" s="5">
        <v>42310</v>
      </c>
      <c r="B212" s="6">
        <v>5065.6401370000003</v>
      </c>
      <c r="C212" s="6">
        <v>5130.5097660000001</v>
      </c>
      <c r="D212" s="6">
        <v>5061.4702150000003</v>
      </c>
      <c r="E212" s="6">
        <v>5127.1499020000001</v>
      </c>
      <c r="F212" s="6">
        <v>5127.1499020000001</v>
      </c>
      <c r="G212" s="4">
        <v>1888180000</v>
      </c>
      <c r="H212">
        <f t="shared" si="3"/>
        <v>1.4419388162178675E-2</v>
      </c>
    </row>
    <row r="213" spans="1:8" x14ac:dyDescent="0.3">
      <c r="A213" s="5">
        <v>42311</v>
      </c>
      <c r="B213" s="6">
        <v>5114.3100590000004</v>
      </c>
      <c r="C213" s="6">
        <v>5163.4702150000003</v>
      </c>
      <c r="D213" s="6">
        <v>5109.6801759999998</v>
      </c>
      <c r="E213" s="6">
        <v>5145.1298829999996</v>
      </c>
      <c r="F213" s="6">
        <v>5145.1298829999996</v>
      </c>
      <c r="G213" s="4">
        <v>2028630000</v>
      </c>
      <c r="H213">
        <f t="shared" si="3"/>
        <v>3.5006833415856036E-3</v>
      </c>
    </row>
    <row r="214" spans="1:8" x14ac:dyDescent="0.3">
      <c r="A214" s="5">
        <v>42312</v>
      </c>
      <c r="B214" s="6">
        <v>5155.6201170000004</v>
      </c>
      <c r="C214" s="6">
        <v>5162.5698240000002</v>
      </c>
      <c r="D214" s="6">
        <v>5122.7797849999997</v>
      </c>
      <c r="E214" s="6">
        <v>5142.4799800000001</v>
      </c>
      <c r="F214" s="6">
        <v>5142.4799800000001</v>
      </c>
      <c r="G214" s="4">
        <v>2096110000</v>
      </c>
      <c r="H214">
        <f t="shared" si="3"/>
        <v>-5.1516398733896071E-4</v>
      </c>
    </row>
    <row r="215" spans="1:8" x14ac:dyDescent="0.3">
      <c r="A215" s="5">
        <v>42313</v>
      </c>
      <c r="B215" s="6">
        <v>5144.1499020000001</v>
      </c>
      <c r="C215" s="6">
        <v>5154.8598629999997</v>
      </c>
      <c r="D215" s="6">
        <v>5098.4902339999999</v>
      </c>
      <c r="E215" s="6">
        <v>5127.7402339999999</v>
      </c>
      <c r="F215" s="6">
        <v>5127.7402339999999</v>
      </c>
      <c r="G215" s="4">
        <v>2054490000</v>
      </c>
      <c r="H215">
        <f t="shared" si="3"/>
        <v>-2.8703875502344178E-3</v>
      </c>
    </row>
    <row r="216" spans="1:8" x14ac:dyDescent="0.3">
      <c r="A216" s="5">
        <v>42314</v>
      </c>
      <c r="B216" s="6">
        <v>5124.0400390000004</v>
      </c>
      <c r="C216" s="6">
        <v>5147.1201170000004</v>
      </c>
      <c r="D216" s="6">
        <v>5092.8701170000004</v>
      </c>
      <c r="E216" s="6">
        <v>5147.1201170000004</v>
      </c>
      <c r="F216" s="6">
        <v>5147.1201170000004</v>
      </c>
      <c r="G216" s="4">
        <v>2066430000</v>
      </c>
      <c r="H216">
        <f t="shared" si="3"/>
        <v>3.7722957431275657E-3</v>
      </c>
    </row>
    <row r="217" spans="1:8" x14ac:dyDescent="0.3">
      <c r="A217" s="5">
        <v>42317</v>
      </c>
      <c r="B217" s="6">
        <v>5128.9399409999996</v>
      </c>
      <c r="C217" s="6">
        <v>5133.4399409999996</v>
      </c>
      <c r="D217" s="6">
        <v>5066.1000979999999</v>
      </c>
      <c r="E217" s="6">
        <v>5095.2998049999997</v>
      </c>
      <c r="F217" s="6">
        <v>5095.2998049999997</v>
      </c>
      <c r="G217" s="4">
        <v>1850770000</v>
      </c>
      <c r="H217">
        <f t="shared" si="3"/>
        <v>-1.0118849755337405E-2</v>
      </c>
    </row>
    <row r="218" spans="1:8" x14ac:dyDescent="0.3">
      <c r="A218" s="5">
        <v>42318</v>
      </c>
      <c r="B218" s="6">
        <v>5068.5498049999997</v>
      </c>
      <c r="C218" s="6">
        <v>5086.8798829999996</v>
      </c>
      <c r="D218" s="6">
        <v>5051.2202150000003</v>
      </c>
      <c r="E218" s="6">
        <v>5083.2402339999999</v>
      </c>
      <c r="F218" s="6">
        <v>5083.2402339999999</v>
      </c>
      <c r="G218" s="4">
        <v>1906120000</v>
      </c>
      <c r="H218">
        <f t="shared" si="3"/>
        <v>-2.3696083321792971E-3</v>
      </c>
    </row>
    <row r="219" spans="1:8" x14ac:dyDescent="0.3">
      <c r="A219" s="5">
        <v>42319</v>
      </c>
      <c r="B219" s="6">
        <v>5098.1298829999996</v>
      </c>
      <c r="C219" s="6">
        <v>5111.1899409999996</v>
      </c>
      <c r="D219" s="6">
        <v>5066.6801759999998</v>
      </c>
      <c r="E219" s="6">
        <v>5067.0200199999999</v>
      </c>
      <c r="F219" s="6">
        <v>5067.0200199999999</v>
      </c>
      <c r="G219" s="4">
        <v>1672340000</v>
      </c>
      <c r="H219">
        <f t="shared" si="3"/>
        <v>-3.1960220528264504E-3</v>
      </c>
    </row>
    <row r="220" spans="1:8" x14ac:dyDescent="0.3">
      <c r="A220" s="5">
        <v>42320</v>
      </c>
      <c r="B220" s="6">
        <v>5043.1000979999999</v>
      </c>
      <c r="C220" s="6">
        <v>5062.4902339999999</v>
      </c>
      <c r="D220" s="6">
        <v>5004.4599609999996</v>
      </c>
      <c r="E220" s="6">
        <v>5005.080078</v>
      </c>
      <c r="F220" s="6">
        <v>5005.080078</v>
      </c>
      <c r="G220" s="4">
        <v>1820930000</v>
      </c>
      <c r="H220">
        <f t="shared" si="3"/>
        <v>-1.2299465302227653E-2</v>
      </c>
    </row>
    <row r="221" spans="1:8" x14ac:dyDescent="0.3">
      <c r="A221" s="5">
        <v>42321</v>
      </c>
      <c r="B221" s="6">
        <v>4980.8598629999997</v>
      </c>
      <c r="C221" s="6">
        <v>4989.0600590000004</v>
      </c>
      <c r="D221" s="6">
        <v>4925.3500979999999</v>
      </c>
      <c r="E221" s="6">
        <v>4927.8798829999996</v>
      </c>
      <c r="F221" s="6">
        <v>4927.8798829999996</v>
      </c>
      <c r="G221" s="4">
        <v>2001050000</v>
      </c>
      <c r="H221">
        <f t="shared" si="3"/>
        <v>-1.5544560696666702E-2</v>
      </c>
    </row>
    <row r="222" spans="1:8" x14ac:dyDescent="0.3">
      <c r="A222" s="5">
        <v>42324</v>
      </c>
      <c r="B222" s="6">
        <v>4916.1401370000003</v>
      </c>
      <c r="C222" s="6">
        <v>4984.9101559999999</v>
      </c>
      <c r="D222" s="6">
        <v>4908.6601559999999</v>
      </c>
      <c r="E222" s="6">
        <v>4984.6201170000004</v>
      </c>
      <c r="F222" s="6">
        <v>4984.6201170000004</v>
      </c>
      <c r="G222" s="4">
        <v>1819190000</v>
      </c>
      <c r="H222">
        <f t="shared" si="3"/>
        <v>1.1448343751465308E-2</v>
      </c>
    </row>
    <row r="223" spans="1:8" x14ac:dyDescent="0.3">
      <c r="A223" s="5">
        <v>42325</v>
      </c>
      <c r="B223" s="6">
        <v>4991.7099609999996</v>
      </c>
      <c r="C223" s="6">
        <v>5023.4501950000003</v>
      </c>
      <c r="D223" s="6">
        <v>4975.7402339999999</v>
      </c>
      <c r="E223" s="6">
        <v>4986.0200199999999</v>
      </c>
      <c r="F223" s="6">
        <v>4986.0200199999999</v>
      </c>
      <c r="G223" s="4">
        <v>1861710000</v>
      </c>
      <c r="H223">
        <f t="shared" si="3"/>
        <v>2.8080504159468009E-4</v>
      </c>
    </row>
    <row r="224" spans="1:8" x14ac:dyDescent="0.3">
      <c r="A224" s="5">
        <v>42326</v>
      </c>
      <c r="B224" s="6">
        <v>5004.6000979999999</v>
      </c>
      <c r="C224" s="6">
        <v>5078.7998049999997</v>
      </c>
      <c r="D224" s="6">
        <v>5001.669922</v>
      </c>
      <c r="E224" s="6">
        <v>5075.2001950000003</v>
      </c>
      <c r="F224" s="6">
        <v>5075.2001950000003</v>
      </c>
      <c r="G224" s="4">
        <v>2017390000</v>
      </c>
      <c r="H224">
        <f t="shared" si="3"/>
        <v>1.7727971104482942E-2</v>
      </c>
    </row>
    <row r="225" spans="1:8" x14ac:dyDescent="0.3">
      <c r="A225" s="5">
        <v>42327</v>
      </c>
      <c r="B225" s="6">
        <v>5078.669922</v>
      </c>
      <c r="C225" s="6">
        <v>5092.4599609999996</v>
      </c>
      <c r="D225" s="6">
        <v>5067.2700199999999</v>
      </c>
      <c r="E225" s="6">
        <v>5073.6401370000003</v>
      </c>
      <c r="F225" s="6">
        <v>5073.6401370000003</v>
      </c>
      <c r="G225" s="4">
        <v>1794110000</v>
      </c>
      <c r="H225">
        <f t="shared" si="3"/>
        <v>-3.074357190088962E-4</v>
      </c>
    </row>
    <row r="226" spans="1:8" x14ac:dyDescent="0.3">
      <c r="A226" s="5">
        <v>42328</v>
      </c>
      <c r="B226" s="6">
        <v>5096.9599609999996</v>
      </c>
      <c r="C226" s="6">
        <v>5112.4599609999996</v>
      </c>
      <c r="D226" s="6">
        <v>5094.3198240000002</v>
      </c>
      <c r="E226" s="6">
        <v>5104.919922</v>
      </c>
      <c r="F226" s="6">
        <v>5104.919922</v>
      </c>
      <c r="G226" s="4">
        <v>1766630000</v>
      </c>
      <c r="H226">
        <f t="shared" si="3"/>
        <v>6.1462295821308787E-3</v>
      </c>
    </row>
    <row r="227" spans="1:8" x14ac:dyDescent="0.3">
      <c r="A227" s="5">
        <v>42331</v>
      </c>
      <c r="B227" s="6">
        <v>5106.7202150000003</v>
      </c>
      <c r="C227" s="6">
        <v>5128.080078</v>
      </c>
      <c r="D227" s="6">
        <v>5084.8500979999999</v>
      </c>
      <c r="E227" s="6">
        <v>5102.4799800000001</v>
      </c>
      <c r="F227" s="6">
        <v>5102.4799800000001</v>
      </c>
      <c r="G227" s="4">
        <v>1668280000</v>
      </c>
      <c r="H227">
        <f t="shared" si="3"/>
        <v>-4.7807317630286985E-4</v>
      </c>
    </row>
    <row r="228" spans="1:8" x14ac:dyDescent="0.3">
      <c r="A228" s="5">
        <v>42332</v>
      </c>
      <c r="B228" s="6">
        <v>5070.6601559999999</v>
      </c>
      <c r="C228" s="6">
        <v>5110.75</v>
      </c>
      <c r="D228" s="6">
        <v>5050.1401370000003</v>
      </c>
      <c r="E228" s="6">
        <v>5102.8100590000004</v>
      </c>
      <c r="F228" s="6">
        <v>5102.8100590000004</v>
      </c>
      <c r="G228" s="4">
        <v>1956920000</v>
      </c>
      <c r="H228">
        <f t="shared" si="3"/>
        <v>6.4687823443341982E-5</v>
      </c>
    </row>
    <row r="229" spans="1:8" x14ac:dyDescent="0.3">
      <c r="A229" s="5">
        <v>42333</v>
      </c>
      <c r="B229" s="6">
        <v>5106.8701170000004</v>
      </c>
      <c r="C229" s="6">
        <v>5124.0898440000001</v>
      </c>
      <c r="D229" s="6">
        <v>5101.1801759999998</v>
      </c>
      <c r="E229" s="6">
        <v>5116.1401370000003</v>
      </c>
      <c r="F229" s="6">
        <v>5116.1401370000003</v>
      </c>
      <c r="G229" s="4">
        <v>1539300000</v>
      </c>
      <c r="H229">
        <f t="shared" si="3"/>
        <v>2.6088952984552852E-3</v>
      </c>
    </row>
    <row r="230" spans="1:8" x14ac:dyDescent="0.3">
      <c r="A230" s="5">
        <v>42335</v>
      </c>
      <c r="B230" s="6">
        <v>5121.9301759999998</v>
      </c>
      <c r="C230" s="6">
        <v>5134.3500979999999</v>
      </c>
      <c r="D230" s="6">
        <v>5108.5097660000001</v>
      </c>
      <c r="E230" s="6">
        <v>5127.5200199999999</v>
      </c>
      <c r="F230" s="6">
        <v>5127.5200199999999</v>
      </c>
      <c r="G230" s="4">
        <v>781730000</v>
      </c>
      <c r="H230">
        <f t="shared" si="3"/>
        <v>2.2218401444511404E-3</v>
      </c>
    </row>
    <row r="231" spans="1:8" x14ac:dyDescent="0.3">
      <c r="A231" s="5">
        <v>42338</v>
      </c>
      <c r="B231" s="6">
        <v>5139.580078</v>
      </c>
      <c r="C231" s="6">
        <v>5141.3598629999997</v>
      </c>
      <c r="D231" s="6">
        <v>5098.7001950000003</v>
      </c>
      <c r="E231" s="6">
        <v>5108.669922</v>
      </c>
      <c r="F231" s="6">
        <v>5108.669922</v>
      </c>
      <c r="G231" s="4">
        <v>2244550000</v>
      </c>
      <c r="H231">
        <f t="shared" si="3"/>
        <v>-3.6830342959366497E-3</v>
      </c>
    </row>
    <row r="232" spans="1:8" x14ac:dyDescent="0.3">
      <c r="A232" s="5">
        <v>42339</v>
      </c>
      <c r="B232" s="6">
        <v>5129.6401370000003</v>
      </c>
      <c r="C232" s="6">
        <v>5156.3100590000004</v>
      </c>
      <c r="D232" s="6">
        <v>5120.169922</v>
      </c>
      <c r="E232" s="6">
        <v>5156.3100590000004</v>
      </c>
      <c r="F232" s="6">
        <v>5156.3100590000004</v>
      </c>
      <c r="G232" s="4">
        <v>2035570000</v>
      </c>
      <c r="H232">
        <f t="shared" si="3"/>
        <v>9.2821377413799186E-3</v>
      </c>
    </row>
    <row r="233" spans="1:8" x14ac:dyDescent="0.3">
      <c r="A233" s="5">
        <v>42340</v>
      </c>
      <c r="B233" s="6">
        <v>5158.8198240000002</v>
      </c>
      <c r="C233" s="6">
        <v>5176.7700199999999</v>
      </c>
      <c r="D233" s="6">
        <v>5117.1499020000001</v>
      </c>
      <c r="E233" s="6">
        <v>5123.2202150000003</v>
      </c>
      <c r="F233" s="6">
        <v>5123.2202150000003</v>
      </c>
      <c r="G233" s="4">
        <v>2060340000</v>
      </c>
      <c r="H233">
        <f t="shared" si="3"/>
        <v>-6.4380292505281291E-3</v>
      </c>
    </row>
    <row r="234" spans="1:8" x14ac:dyDescent="0.3">
      <c r="A234" s="5">
        <v>42341</v>
      </c>
      <c r="B234" s="6">
        <v>5143.1601559999999</v>
      </c>
      <c r="C234" s="6">
        <v>5144.6000979999999</v>
      </c>
      <c r="D234" s="6">
        <v>5011.7202150000003</v>
      </c>
      <c r="E234" s="6">
        <v>5037.5297849999997</v>
      </c>
      <c r="F234" s="6">
        <v>5037.5297849999997</v>
      </c>
      <c r="G234" s="4">
        <v>2088100000</v>
      </c>
      <c r="H234">
        <f t="shared" si="3"/>
        <v>-1.6867349678142993E-2</v>
      </c>
    </row>
    <row r="235" spans="1:8" x14ac:dyDescent="0.3">
      <c r="A235" s="5">
        <v>42342</v>
      </c>
      <c r="B235" s="6">
        <v>5050.9301759999998</v>
      </c>
      <c r="C235" s="6">
        <v>5147</v>
      </c>
      <c r="D235" s="6">
        <v>5043.4902339999999</v>
      </c>
      <c r="E235" s="6">
        <v>5142.2700199999999</v>
      </c>
      <c r="F235" s="6">
        <v>5142.2700199999999</v>
      </c>
      <c r="G235" s="4">
        <v>1897490000</v>
      </c>
      <c r="H235">
        <f t="shared" si="3"/>
        <v>2.0578780195544554E-2</v>
      </c>
    </row>
    <row r="236" spans="1:8" x14ac:dyDescent="0.3">
      <c r="A236" s="5">
        <v>42345</v>
      </c>
      <c r="B236" s="6">
        <v>5139.4599609999996</v>
      </c>
      <c r="C236" s="6">
        <v>5139.7797849999997</v>
      </c>
      <c r="D236" s="6">
        <v>5082.2299800000001</v>
      </c>
      <c r="E236" s="6">
        <v>5101.8100590000004</v>
      </c>
      <c r="F236" s="6">
        <v>5101.8100590000004</v>
      </c>
      <c r="G236" s="4">
        <v>1952690000</v>
      </c>
      <c r="H236">
        <f t="shared" si="3"/>
        <v>-7.8992298131696833E-3</v>
      </c>
    </row>
    <row r="237" spans="1:8" x14ac:dyDescent="0.3">
      <c r="A237" s="5">
        <v>42346</v>
      </c>
      <c r="B237" s="6">
        <v>5050.5200199999999</v>
      </c>
      <c r="C237" s="6">
        <v>5111.7299800000001</v>
      </c>
      <c r="D237" s="6">
        <v>5045.7299800000001</v>
      </c>
      <c r="E237" s="6">
        <v>5098.2402339999999</v>
      </c>
      <c r="F237" s="6">
        <v>5098.2402339999999</v>
      </c>
      <c r="G237" s="4">
        <v>1871450000</v>
      </c>
      <c r="H237">
        <f t="shared" si="3"/>
        <v>-6.9996226355915805E-4</v>
      </c>
    </row>
    <row r="238" spans="1:8" x14ac:dyDescent="0.3">
      <c r="A238" s="5">
        <v>42347</v>
      </c>
      <c r="B238" s="6">
        <v>5077.2099609999996</v>
      </c>
      <c r="C238" s="6">
        <v>5106.3701170000004</v>
      </c>
      <c r="D238" s="6">
        <v>5000.1201170000004</v>
      </c>
      <c r="E238" s="6">
        <v>5022.8701170000004</v>
      </c>
      <c r="F238" s="6">
        <v>5022.8701170000004</v>
      </c>
      <c r="G238" s="4">
        <v>2003450000</v>
      </c>
      <c r="H238">
        <f t="shared" si="3"/>
        <v>-1.4893921250419362E-2</v>
      </c>
    </row>
    <row r="239" spans="1:8" x14ac:dyDescent="0.3">
      <c r="A239" s="5">
        <v>42348</v>
      </c>
      <c r="B239" s="6">
        <v>5026.2998049999997</v>
      </c>
      <c r="C239" s="6">
        <v>5075.6499020000001</v>
      </c>
      <c r="D239" s="6">
        <v>5019.3100590000004</v>
      </c>
      <c r="E239" s="6">
        <v>5045.169922</v>
      </c>
      <c r="F239" s="6">
        <v>5045.169922</v>
      </c>
      <c r="G239" s="4">
        <v>1746520000</v>
      </c>
      <c r="H239">
        <f t="shared" si="3"/>
        <v>4.4298277281489516E-3</v>
      </c>
    </row>
    <row r="240" spans="1:8" x14ac:dyDescent="0.3">
      <c r="A240" s="5">
        <v>42349</v>
      </c>
      <c r="B240" s="6">
        <v>4979.7700199999999</v>
      </c>
      <c r="C240" s="6">
        <v>4996.1899409999996</v>
      </c>
      <c r="D240" s="6">
        <v>4928.669922</v>
      </c>
      <c r="E240" s="6">
        <v>4933.4702150000003</v>
      </c>
      <c r="F240" s="6">
        <v>4933.4702150000003</v>
      </c>
      <c r="G240" s="4">
        <v>2084950000</v>
      </c>
      <c r="H240">
        <f t="shared" si="3"/>
        <v>-2.2388696506131317E-2</v>
      </c>
    </row>
    <row r="241" spans="1:8" x14ac:dyDescent="0.3">
      <c r="A241" s="5">
        <v>42352</v>
      </c>
      <c r="B241" s="6">
        <v>4932.6098629999997</v>
      </c>
      <c r="C241" s="6">
        <v>4953.6000979999999</v>
      </c>
      <c r="D241" s="6">
        <v>4871.5898440000001</v>
      </c>
      <c r="E241" s="6">
        <v>4952.2299800000001</v>
      </c>
      <c r="F241" s="6">
        <v>4952.2299800000001</v>
      </c>
      <c r="G241" s="4">
        <v>2216060000</v>
      </c>
      <c r="H241">
        <f t="shared" si="3"/>
        <v>3.7953381447637462E-3</v>
      </c>
    </row>
    <row r="242" spans="1:8" x14ac:dyDescent="0.3">
      <c r="A242" s="5">
        <v>42353</v>
      </c>
      <c r="B242" s="6">
        <v>4991.2099609999996</v>
      </c>
      <c r="C242" s="6">
        <v>5026.5400390000004</v>
      </c>
      <c r="D242" s="6">
        <v>4986.9902339999999</v>
      </c>
      <c r="E242" s="6">
        <v>4995.3598629999997</v>
      </c>
      <c r="F242" s="6">
        <v>4995.3598629999997</v>
      </c>
      <c r="G242" s="4">
        <v>2054710000</v>
      </c>
      <c r="H242">
        <f t="shared" si="3"/>
        <v>8.6714780044844959E-3</v>
      </c>
    </row>
    <row r="243" spans="1:8" x14ac:dyDescent="0.3">
      <c r="A243" s="5">
        <v>42354</v>
      </c>
      <c r="B243" s="6">
        <v>5033.4799800000001</v>
      </c>
      <c r="C243" s="6">
        <v>5078.9902339999999</v>
      </c>
      <c r="D243" s="6">
        <v>4992.6298829999996</v>
      </c>
      <c r="E243" s="6">
        <v>5071.1298829999996</v>
      </c>
      <c r="F243" s="6">
        <v>5071.1298829999996</v>
      </c>
      <c r="G243" s="4">
        <v>2036610000</v>
      </c>
      <c r="H243">
        <f t="shared" si="3"/>
        <v>1.5054195231671083E-2</v>
      </c>
    </row>
    <row r="244" spans="1:8" x14ac:dyDescent="0.3">
      <c r="A244" s="5">
        <v>42355</v>
      </c>
      <c r="B244" s="6">
        <v>5087.169922</v>
      </c>
      <c r="C244" s="6">
        <v>5088.580078</v>
      </c>
      <c r="D244" s="6">
        <v>5002.5498049999997</v>
      </c>
      <c r="E244" s="6">
        <v>5002.5498049999997</v>
      </c>
      <c r="F244" s="6">
        <v>5002.5498049999997</v>
      </c>
      <c r="G244" s="4">
        <v>1897220000</v>
      </c>
      <c r="H244">
        <f t="shared" si="3"/>
        <v>-1.3615905933562272E-2</v>
      </c>
    </row>
    <row r="245" spans="1:8" x14ac:dyDescent="0.3">
      <c r="A245" s="5">
        <v>42356</v>
      </c>
      <c r="B245" s="6">
        <v>4982.580078</v>
      </c>
      <c r="C245" s="6">
        <v>4996.4902339999999</v>
      </c>
      <c r="D245" s="6">
        <v>4921.330078</v>
      </c>
      <c r="E245" s="6">
        <v>4923.080078</v>
      </c>
      <c r="F245" s="6">
        <v>4923.080078</v>
      </c>
      <c r="G245" s="4">
        <v>3765210000</v>
      </c>
      <c r="H245">
        <f t="shared" si="3"/>
        <v>-1.6013376706499726E-2</v>
      </c>
    </row>
    <row r="246" spans="1:8" x14ac:dyDescent="0.3">
      <c r="A246" s="5">
        <v>42359</v>
      </c>
      <c r="B246" s="6">
        <v>4957.5297849999997</v>
      </c>
      <c r="C246" s="6">
        <v>4968.919922</v>
      </c>
      <c r="D246" s="6">
        <v>4928.9301759999998</v>
      </c>
      <c r="E246" s="6">
        <v>4968.919922</v>
      </c>
      <c r="F246" s="6">
        <v>4968.919922</v>
      </c>
      <c r="G246" s="4">
        <v>1673400000</v>
      </c>
      <c r="H246">
        <f t="shared" si="3"/>
        <v>9.2681302324469361E-3</v>
      </c>
    </row>
    <row r="247" spans="1:8" x14ac:dyDescent="0.3">
      <c r="A247" s="5">
        <v>42360</v>
      </c>
      <c r="B247" s="6">
        <v>4988.6801759999998</v>
      </c>
      <c r="C247" s="6">
        <v>5007.7700199999999</v>
      </c>
      <c r="D247" s="6">
        <v>4964.080078</v>
      </c>
      <c r="E247" s="6">
        <v>5001.1098629999997</v>
      </c>
      <c r="F247" s="6">
        <v>5001.1098629999997</v>
      </c>
      <c r="G247" s="4">
        <v>1556670000</v>
      </c>
      <c r="H247">
        <f t="shared" si="3"/>
        <v>6.4573634277010038E-3</v>
      </c>
    </row>
    <row r="248" spans="1:8" x14ac:dyDescent="0.3">
      <c r="A248" s="5">
        <v>42361</v>
      </c>
      <c r="B248" s="6">
        <v>5025.5498049999997</v>
      </c>
      <c r="C248" s="6">
        <v>5046.0898440000001</v>
      </c>
      <c r="D248" s="6">
        <v>5020.4399409999996</v>
      </c>
      <c r="E248" s="6">
        <v>5045.9301759999998</v>
      </c>
      <c r="F248" s="6">
        <v>5045.9301759999998</v>
      </c>
      <c r="G248" s="4">
        <v>1591490000</v>
      </c>
      <c r="H248">
        <f t="shared" si="3"/>
        <v>8.9221522262536018E-3</v>
      </c>
    </row>
    <row r="249" spans="1:8" x14ac:dyDescent="0.3">
      <c r="A249" s="5">
        <v>42362</v>
      </c>
      <c r="B249" s="6">
        <v>5046.1899409999996</v>
      </c>
      <c r="C249" s="6">
        <v>5063.2797849999997</v>
      </c>
      <c r="D249" s="6">
        <v>5043.6499020000001</v>
      </c>
      <c r="E249" s="6">
        <v>5048.4902339999999</v>
      </c>
      <c r="F249" s="6">
        <v>5048.4902339999999</v>
      </c>
      <c r="G249" s="4">
        <v>706880000</v>
      </c>
      <c r="H249">
        <f t="shared" si="3"/>
        <v>5.0722239631517099E-4</v>
      </c>
    </row>
    <row r="250" spans="1:8" x14ac:dyDescent="0.3">
      <c r="A250" s="5">
        <v>42366</v>
      </c>
      <c r="B250" s="6">
        <v>5032.2900390000004</v>
      </c>
      <c r="C250" s="6">
        <v>5041.2700199999999</v>
      </c>
      <c r="D250" s="6">
        <v>4999.0698240000002</v>
      </c>
      <c r="E250" s="6">
        <v>5040.9902339999999</v>
      </c>
      <c r="F250" s="6">
        <v>5040.9902339999999</v>
      </c>
      <c r="G250" s="4">
        <v>1310650000</v>
      </c>
      <c r="H250">
        <f t="shared" si="3"/>
        <v>-1.4866972398043267E-3</v>
      </c>
    </row>
    <row r="251" spans="1:8" x14ac:dyDescent="0.3">
      <c r="A251" s="5">
        <v>42367</v>
      </c>
      <c r="B251" s="6">
        <v>5066.5200199999999</v>
      </c>
      <c r="C251" s="6">
        <v>5116.9902339999999</v>
      </c>
      <c r="D251" s="6">
        <v>5065.8901370000003</v>
      </c>
      <c r="E251" s="6">
        <v>5107.9399409999996</v>
      </c>
      <c r="F251" s="6">
        <v>5107.9399409999996</v>
      </c>
      <c r="G251" s="4">
        <v>1383470000</v>
      </c>
      <c r="H251">
        <f t="shared" si="3"/>
        <v>1.3193642485723264E-2</v>
      </c>
    </row>
    <row r="252" spans="1:8" x14ac:dyDescent="0.3">
      <c r="A252" s="5">
        <v>42368</v>
      </c>
      <c r="B252" s="6">
        <v>5101.1801759999998</v>
      </c>
      <c r="C252" s="6">
        <v>5102.3500979999999</v>
      </c>
      <c r="D252" s="6">
        <v>5065.6801759999998</v>
      </c>
      <c r="E252" s="6">
        <v>5065.8500979999999</v>
      </c>
      <c r="F252" s="6">
        <v>5065.8500979999999</v>
      </c>
      <c r="G252" s="4">
        <v>1247530000</v>
      </c>
      <c r="H252">
        <f t="shared" si="3"/>
        <v>-8.2742189430684357E-3</v>
      </c>
    </row>
    <row r="253" spans="1:8" x14ac:dyDescent="0.3">
      <c r="A253" s="5">
        <v>42369</v>
      </c>
      <c r="B253" s="6">
        <v>5047.0400390000004</v>
      </c>
      <c r="C253" s="6">
        <v>5058.0600590000004</v>
      </c>
      <c r="D253" s="6">
        <v>5007.0097660000001</v>
      </c>
      <c r="E253" s="6">
        <v>5007.4101559999999</v>
      </c>
      <c r="F253" s="6">
        <v>5007.4101559999999</v>
      </c>
      <c r="G253" s="4">
        <v>1437480000</v>
      </c>
      <c r="H253">
        <f t="shared" si="3"/>
        <v>-1.1603114817537544E-2</v>
      </c>
    </row>
    <row r="254" spans="1:8" x14ac:dyDescent="0.3">
      <c r="A254" s="5">
        <v>42373</v>
      </c>
      <c r="B254" s="6">
        <v>4897.6499020000001</v>
      </c>
      <c r="C254" s="6">
        <v>4903.0898440000001</v>
      </c>
      <c r="D254" s="6">
        <v>4846.9799800000001</v>
      </c>
      <c r="E254" s="6">
        <v>4903.0898440000001</v>
      </c>
      <c r="F254" s="6">
        <v>4903.0898440000001</v>
      </c>
      <c r="G254" s="4">
        <v>2218420000</v>
      </c>
      <c r="H254">
        <f t="shared" si="3"/>
        <v>-2.105325971725077E-2</v>
      </c>
    </row>
    <row r="255" spans="1:8" x14ac:dyDescent="0.3">
      <c r="A255" s="5">
        <v>42374</v>
      </c>
      <c r="B255" s="6">
        <v>4917.8398440000001</v>
      </c>
      <c r="C255" s="6">
        <v>4926.7299800000001</v>
      </c>
      <c r="D255" s="6">
        <v>4872.7402339999999</v>
      </c>
      <c r="E255" s="6">
        <v>4891.4301759999998</v>
      </c>
      <c r="F255" s="6">
        <v>4891.4301759999998</v>
      </c>
      <c r="G255" s="4">
        <v>1927380000</v>
      </c>
      <c r="H255">
        <f t="shared" si="3"/>
        <v>-2.3808565369013456E-3</v>
      </c>
    </row>
    <row r="256" spans="1:8" x14ac:dyDescent="0.3">
      <c r="A256" s="5">
        <v>42375</v>
      </c>
      <c r="B256" s="6">
        <v>4813.7597660000001</v>
      </c>
      <c r="C256" s="6">
        <v>4866.0400390000004</v>
      </c>
      <c r="D256" s="6">
        <v>4804.6899409999996</v>
      </c>
      <c r="E256" s="6">
        <v>4835.7597660000001</v>
      </c>
      <c r="F256" s="6">
        <v>4835.7597660000001</v>
      </c>
      <c r="G256" s="4">
        <v>2168620000</v>
      </c>
      <c r="H256">
        <f t="shared" si="3"/>
        <v>-1.1446474915573374E-2</v>
      </c>
    </row>
    <row r="257" spans="1:8" x14ac:dyDescent="0.3">
      <c r="A257" s="5">
        <v>42376</v>
      </c>
      <c r="B257" s="6">
        <v>4736.3999020000001</v>
      </c>
      <c r="C257" s="6">
        <v>4788.0200199999999</v>
      </c>
      <c r="D257" s="6">
        <v>4688.169922</v>
      </c>
      <c r="E257" s="6">
        <v>4689.4301759999998</v>
      </c>
      <c r="F257" s="6">
        <v>4689.4301759999998</v>
      </c>
      <c r="G257" s="4">
        <v>2552590000</v>
      </c>
      <c r="H257">
        <f t="shared" si="3"/>
        <v>-3.0727177917818205E-2</v>
      </c>
    </row>
    <row r="258" spans="1:8" x14ac:dyDescent="0.3">
      <c r="A258" s="5">
        <v>42377</v>
      </c>
      <c r="B258" s="6">
        <v>4722.0200199999999</v>
      </c>
      <c r="C258" s="6">
        <v>4742.5698240000002</v>
      </c>
      <c r="D258" s="6">
        <v>4637.8500979999999</v>
      </c>
      <c r="E258" s="6">
        <v>4643.6298829999996</v>
      </c>
      <c r="F258" s="6">
        <v>4643.6298829999996</v>
      </c>
      <c r="G258" s="4">
        <v>2288750000</v>
      </c>
      <c r="H258">
        <f t="shared" si="3"/>
        <v>-9.8147146523165883E-3</v>
      </c>
    </row>
    <row r="259" spans="1:8" x14ac:dyDescent="0.3">
      <c r="A259" s="5">
        <v>42380</v>
      </c>
      <c r="B259" s="6">
        <v>4673.4399409999996</v>
      </c>
      <c r="C259" s="6">
        <v>4683.0200199999999</v>
      </c>
      <c r="D259" s="6">
        <v>4573.7797849999997</v>
      </c>
      <c r="E259" s="6">
        <v>4637.9902339999999</v>
      </c>
      <c r="F259" s="6">
        <v>4637.9902339999999</v>
      </c>
      <c r="G259" s="4">
        <v>2391110000</v>
      </c>
      <c r="H259">
        <f t="shared" si="3"/>
        <v>-1.2152295877128757E-3</v>
      </c>
    </row>
    <row r="260" spans="1:8" x14ac:dyDescent="0.3">
      <c r="A260" s="5">
        <v>42381</v>
      </c>
      <c r="B260" s="6">
        <v>4681.5400390000004</v>
      </c>
      <c r="C260" s="6">
        <v>4714.7998049999997</v>
      </c>
      <c r="D260" s="6">
        <v>4618.0297849999997</v>
      </c>
      <c r="E260" s="6">
        <v>4685.919922</v>
      </c>
      <c r="F260" s="6">
        <v>4685.919922</v>
      </c>
      <c r="G260" s="4">
        <v>2147470000</v>
      </c>
      <c r="H260">
        <f t="shared" ref="H260:H323" si="4">LN(E260/E259)</f>
        <v>1.0281117982378034E-2</v>
      </c>
    </row>
    <row r="261" spans="1:8" x14ac:dyDescent="0.3">
      <c r="A261" s="5">
        <v>42382</v>
      </c>
      <c r="B261" s="6">
        <v>4706.0200199999999</v>
      </c>
      <c r="C261" s="6">
        <v>4713.9799800000001</v>
      </c>
      <c r="D261" s="6">
        <v>4517.5600590000004</v>
      </c>
      <c r="E261" s="6">
        <v>4526.0600590000004</v>
      </c>
      <c r="F261" s="6">
        <v>4526.0600590000004</v>
      </c>
      <c r="G261" s="4">
        <v>2533200000</v>
      </c>
      <c r="H261">
        <f t="shared" si="4"/>
        <v>-3.4710434266575996E-2</v>
      </c>
    </row>
    <row r="262" spans="1:8" x14ac:dyDescent="0.3">
      <c r="A262" s="5">
        <v>42383</v>
      </c>
      <c r="B262" s="6">
        <v>4545.3701170000004</v>
      </c>
      <c r="C262" s="6">
        <v>4650.5498049999997</v>
      </c>
      <c r="D262" s="6">
        <v>4470.5898440000001</v>
      </c>
      <c r="E262" s="6">
        <v>4615</v>
      </c>
      <c r="F262" s="6">
        <v>4615</v>
      </c>
      <c r="G262" s="4">
        <v>2565560000</v>
      </c>
      <c r="H262">
        <f t="shared" si="4"/>
        <v>1.946005105687711E-2</v>
      </c>
    </row>
    <row r="263" spans="1:8" x14ac:dyDescent="0.3">
      <c r="A263" s="5">
        <v>42384</v>
      </c>
      <c r="B263" s="6">
        <v>4464.3701170000004</v>
      </c>
      <c r="C263" s="6">
        <v>4520.4501950000003</v>
      </c>
      <c r="D263" s="6">
        <v>4419.4101559999999</v>
      </c>
      <c r="E263" s="6">
        <v>4488.419922</v>
      </c>
      <c r="F263" s="6">
        <v>4488.419922</v>
      </c>
      <c r="G263" s="4">
        <v>2818630000</v>
      </c>
      <c r="H263">
        <f t="shared" si="4"/>
        <v>-2.7811138603377968E-2</v>
      </c>
    </row>
    <row r="264" spans="1:8" x14ac:dyDescent="0.3">
      <c r="A264" s="5">
        <v>42388</v>
      </c>
      <c r="B264" s="6">
        <v>4548.0498049999997</v>
      </c>
      <c r="C264" s="6">
        <v>4550.5698240000002</v>
      </c>
      <c r="D264" s="6">
        <v>4430.7700199999999</v>
      </c>
      <c r="E264" s="6">
        <v>4476.9501950000003</v>
      </c>
      <c r="F264" s="6">
        <v>4476.9501950000003</v>
      </c>
      <c r="G264" s="4">
        <v>2394550000</v>
      </c>
      <c r="H264">
        <f t="shared" si="4"/>
        <v>-2.5586747915218163E-3</v>
      </c>
    </row>
    <row r="265" spans="1:8" x14ac:dyDescent="0.3">
      <c r="A265" s="5">
        <v>42389</v>
      </c>
      <c r="B265" s="6">
        <v>4405.2202150000003</v>
      </c>
      <c r="C265" s="6">
        <v>4514.919922</v>
      </c>
      <c r="D265" s="6">
        <v>4313.3901370000003</v>
      </c>
      <c r="E265" s="6">
        <v>4471.6899409999996</v>
      </c>
      <c r="F265" s="6">
        <v>4471.6899409999996</v>
      </c>
      <c r="G265" s="4">
        <v>3204130000</v>
      </c>
      <c r="H265">
        <f t="shared" si="4"/>
        <v>-1.1756545186606604E-3</v>
      </c>
    </row>
    <row r="266" spans="1:8" x14ac:dyDescent="0.3">
      <c r="A266" s="5">
        <v>42390</v>
      </c>
      <c r="B266" s="6">
        <v>4480.7001950000003</v>
      </c>
      <c r="C266" s="6">
        <v>4537.1499020000001</v>
      </c>
      <c r="D266" s="6">
        <v>4432.0200199999999</v>
      </c>
      <c r="E266" s="6">
        <v>4472.0600590000004</v>
      </c>
      <c r="F266" s="6">
        <v>4472.0600590000004</v>
      </c>
      <c r="G266" s="4">
        <v>2447750000</v>
      </c>
      <c r="H266">
        <f t="shared" si="4"/>
        <v>8.2765730305890331E-5</v>
      </c>
    </row>
    <row r="267" spans="1:8" x14ac:dyDescent="0.3">
      <c r="A267" s="5">
        <v>42391</v>
      </c>
      <c r="B267" s="6">
        <v>4557.3901370000003</v>
      </c>
      <c r="C267" s="6">
        <v>4591.1801759999998</v>
      </c>
      <c r="D267" s="6">
        <v>4540.2700199999999</v>
      </c>
      <c r="E267" s="6">
        <v>4591.1801759999998</v>
      </c>
      <c r="F267" s="6">
        <v>4591.1801759999998</v>
      </c>
      <c r="G267" s="4">
        <v>2153340000</v>
      </c>
      <c r="H267">
        <f t="shared" si="4"/>
        <v>2.6287944205727953E-2</v>
      </c>
    </row>
    <row r="268" spans="1:8" x14ac:dyDescent="0.3">
      <c r="A268" s="5">
        <v>42394</v>
      </c>
      <c r="B268" s="6">
        <v>4574.5898440000001</v>
      </c>
      <c r="C268" s="6">
        <v>4590.4399409999996</v>
      </c>
      <c r="D268" s="6">
        <v>4514.7797849999997</v>
      </c>
      <c r="E268" s="6">
        <v>4518.4902339999999</v>
      </c>
      <c r="F268" s="6">
        <v>4518.4902339999999</v>
      </c>
      <c r="G268" s="4">
        <v>2028880000</v>
      </c>
      <c r="H268">
        <f t="shared" si="4"/>
        <v>-1.5959190956477846E-2</v>
      </c>
    </row>
    <row r="269" spans="1:8" x14ac:dyDescent="0.3">
      <c r="A269" s="5">
        <v>42395</v>
      </c>
      <c r="B269" s="6">
        <v>4537.0400390000004</v>
      </c>
      <c r="C269" s="6">
        <v>4583.2099609999996</v>
      </c>
      <c r="D269" s="6">
        <v>4503.5297849999997</v>
      </c>
      <c r="E269" s="6">
        <v>4567.669922</v>
      </c>
      <c r="F269" s="6">
        <v>4567.669922</v>
      </c>
      <c r="G269" s="4">
        <v>1981180000</v>
      </c>
      <c r="H269">
        <f t="shared" si="4"/>
        <v>1.0825291965540983E-2</v>
      </c>
    </row>
    <row r="270" spans="1:8" x14ac:dyDescent="0.3">
      <c r="A270" s="5">
        <v>42396</v>
      </c>
      <c r="B270" s="6">
        <v>4548.8701170000004</v>
      </c>
      <c r="C270" s="6">
        <v>4568.8500979999999</v>
      </c>
      <c r="D270" s="6">
        <v>4450.830078</v>
      </c>
      <c r="E270" s="6">
        <v>4468.169922</v>
      </c>
      <c r="F270" s="6">
        <v>4468.169922</v>
      </c>
      <c r="G270" s="4">
        <v>2115710000</v>
      </c>
      <c r="H270">
        <f t="shared" si="4"/>
        <v>-2.2024299616250929E-2</v>
      </c>
    </row>
    <row r="271" spans="1:8" x14ac:dyDescent="0.3">
      <c r="A271" s="5">
        <v>42397</v>
      </c>
      <c r="B271" s="6">
        <v>4533.8100590000004</v>
      </c>
      <c r="C271" s="6">
        <v>4533.8100590000004</v>
      </c>
      <c r="D271" s="6">
        <v>4447.5</v>
      </c>
      <c r="E271" s="6">
        <v>4506.6801759999998</v>
      </c>
      <c r="F271" s="6">
        <v>4506.6801759999998</v>
      </c>
      <c r="G271" s="4">
        <v>2322310000</v>
      </c>
      <c r="H271">
        <f t="shared" si="4"/>
        <v>8.5818682052505417E-3</v>
      </c>
    </row>
    <row r="272" spans="1:8" x14ac:dyDescent="0.3">
      <c r="A272" s="5">
        <v>42398</v>
      </c>
      <c r="B272" s="6">
        <v>4512.0898440000001</v>
      </c>
      <c r="C272" s="6">
        <v>4613.9501950000003</v>
      </c>
      <c r="D272" s="6">
        <v>4511.2998049999997</v>
      </c>
      <c r="E272" s="6">
        <v>4613.9501950000003</v>
      </c>
      <c r="F272" s="6">
        <v>4613.9501950000003</v>
      </c>
      <c r="G272" s="4">
        <v>2617550000</v>
      </c>
      <c r="H272">
        <f t="shared" si="4"/>
        <v>2.3523585796321512E-2</v>
      </c>
    </row>
    <row r="273" spans="1:8" x14ac:dyDescent="0.3">
      <c r="A273" s="5">
        <v>42401</v>
      </c>
      <c r="B273" s="6">
        <v>4587.5898440000001</v>
      </c>
      <c r="C273" s="6">
        <v>4636.9301759999998</v>
      </c>
      <c r="D273" s="6">
        <v>4565.3701170000004</v>
      </c>
      <c r="E273" s="6">
        <v>4620.3701170000004</v>
      </c>
      <c r="F273" s="6">
        <v>4620.3701170000004</v>
      </c>
      <c r="G273" s="4">
        <v>1983340000</v>
      </c>
      <c r="H273">
        <f t="shared" si="4"/>
        <v>1.3904484179491419E-3</v>
      </c>
    </row>
    <row r="274" spans="1:8" x14ac:dyDescent="0.3">
      <c r="A274" s="5">
        <v>42402</v>
      </c>
      <c r="B274" s="6">
        <v>4588.6899409999996</v>
      </c>
      <c r="C274" s="6">
        <v>4589.8999020000001</v>
      </c>
      <c r="D274" s="6">
        <v>4503.1201170000004</v>
      </c>
      <c r="E274" s="6">
        <v>4516.9501950000003</v>
      </c>
      <c r="F274" s="6">
        <v>4516.9501950000003</v>
      </c>
      <c r="G274" s="4">
        <v>2185180000</v>
      </c>
      <c r="H274">
        <f t="shared" si="4"/>
        <v>-2.2637783301476484E-2</v>
      </c>
    </row>
    <row r="275" spans="1:8" x14ac:dyDescent="0.3">
      <c r="A275" s="5">
        <v>42403</v>
      </c>
      <c r="B275" s="6">
        <v>4543.8198240000002</v>
      </c>
      <c r="C275" s="6">
        <v>4547.3198240000002</v>
      </c>
      <c r="D275" s="6">
        <v>4424.4702150000003</v>
      </c>
      <c r="E275" s="6">
        <v>4504.2402339999999</v>
      </c>
      <c r="F275" s="6">
        <v>4504.2402339999999</v>
      </c>
      <c r="G275" s="4">
        <v>2466190000</v>
      </c>
      <c r="H275">
        <f t="shared" si="4"/>
        <v>-2.8178031513255873E-3</v>
      </c>
    </row>
    <row r="276" spans="1:8" x14ac:dyDescent="0.3">
      <c r="A276" s="5">
        <v>42404</v>
      </c>
      <c r="B276" s="6">
        <v>4492.4799800000001</v>
      </c>
      <c r="C276" s="6">
        <v>4545.5200199999999</v>
      </c>
      <c r="D276" s="6">
        <v>4463.9902339999999</v>
      </c>
      <c r="E276" s="6">
        <v>4509.5600590000004</v>
      </c>
      <c r="F276" s="6">
        <v>4509.5600590000004</v>
      </c>
      <c r="G276" s="4">
        <v>2200930000</v>
      </c>
      <c r="H276">
        <f t="shared" si="4"/>
        <v>1.18037352609191E-3</v>
      </c>
    </row>
    <row r="277" spans="1:8" x14ac:dyDescent="0.3">
      <c r="A277" s="5">
        <v>42405</v>
      </c>
      <c r="B277" s="6">
        <v>4491.4799800000001</v>
      </c>
      <c r="C277" s="6">
        <v>4493.1899409999996</v>
      </c>
      <c r="D277" s="6">
        <v>4350.3701170000004</v>
      </c>
      <c r="E277" s="6">
        <v>4363.1401370000003</v>
      </c>
      <c r="F277" s="6">
        <v>4363.1401370000003</v>
      </c>
      <c r="G277" s="4">
        <v>2489280000</v>
      </c>
      <c r="H277">
        <f t="shared" si="4"/>
        <v>-3.3007587824008915E-2</v>
      </c>
    </row>
    <row r="278" spans="1:8" x14ac:dyDescent="0.3">
      <c r="A278" s="5">
        <v>42408</v>
      </c>
      <c r="B278" s="6">
        <v>4288.0200199999999</v>
      </c>
      <c r="C278" s="6">
        <v>4301.5297849999997</v>
      </c>
      <c r="D278" s="6">
        <v>4212.8100590000004</v>
      </c>
      <c r="E278" s="6">
        <v>4283.75</v>
      </c>
      <c r="F278" s="6">
        <v>4283.75</v>
      </c>
      <c r="G278" s="4">
        <v>2702070000</v>
      </c>
      <c r="H278">
        <f t="shared" si="4"/>
        <v>-1.8363218832221553E-2</v>
      </c>
    </row>
    <row r="279" spans="1:8" x14ac:dyDescent="0.3">
      <c r="A279" s="5">
        <v>42409</v>
      </c>
      <c r="B279" s="6">
        <v>4224.8701170000004</v>
      </c>
      <c r="C279" s="6">
        <v>4329.6098629999997</v>
      </c>
      <c r="D279" s="6">
        <v>4222.4799800000001</v>
      </c>
      <c r="E279" s="6">
        <v>4268.7597660000001</v>
      </c>
      <c r="F279" s="6">
        <v>4268.7597660000001</v>
      </c>
      <c r="G279" s="4">
        <v>2465790000</v>
      </c>
      <c r="H279">
        <f t="shared" si="4"/>
        <v>-3.505462083169944E-3</v>
      </c>
    </row>
    <row r="280" spans="1:8" x14ac:dyDescent="0.3">
      <c r="A280" s="5">
        <v>42410</v>
      </c>
      <c r="B280" s="6">
        <v>4318.2797849999997</v>
      </c>
      <c r="C280" s="6">
        <v>4369.6201170000004</v>
      </c>
      <c r="D280" s="6">
        <v>4280.7299800000001</v>
      </c>
      <c r="E280" s="6">
        <v>4283.5898440000001</v>
      </c>
      <c r="F280" s="6">
        <v>4283.5898440000001</v>
      </c>
      <c r="G280" s="4">
        <v>2448380000</v>
      </c>
      <c r="H280">
        <f t="shared" si="4"/>
        <v>3.4680745152819779E-3</v>
      </c>
    </row>
    <row r="281" spans="1:8" x14ac:dyDescent="0.3">
      <c r="A281" s="5">
        <v>42411</v>
      </c>
      <c r="B281" s="6">
        <v>4218.8100590000004</v>
      </c>
      <c r="C281" s="6">
        <v>4293.2202150000003</v>
      </c>
      <c r="D281" s="6">
        <v>4209.7597660000001</v>
      </c>
      <c r="E281" s="6">
        <v>4266.8398440000001</v>
      </c>
      <c r="F281" s="6">
        <v>4266.8398440000001</v>
      </c>
      <c r="G281" s="4">
        <v>2812330000</v>
      </c>
      <c r="H281">
        <f t="shared" si="4"/>
        <v>-3.9179367675201094E-3</v>
      </c>
    </row>
    <row r="282" spans="1:8" x14ac:dyDescent="0.3">
      <c r="A282" s="5">
        <v>42412</v>
      </c>
      <c r="B282" s="6">
        <v>4307.2900390000004</v>
      </c>
      <c r="C282" s="6">
        <v>4340.1298829999996</v>
      </c>
      <c r="D282" s="6">
        <v>4274.1499020000001</v>
      </c>
      <c r="E282" s="6">
        <v>4337.5097660000001</v>
      </c>
      <c r="F282" s="6">
        <v>4337.5097660000001</v>
      </c>
      <c r="G282" s="4">
        <v>1983190000</v>
      </c>
      <c r="H282">
        <f t="shared" si="4"/>
        <v>1.6426926926547052E-2</v>
      </c>
    </row>
    <row r="283" spans="1:8" x14ac:dyDescent="0.3">
      <c r="A283" s="5">
        <v>42416</v>
      </c>
      <c r="B283" s="6">
        <v>4397.9501950000003</v>
      </c>
      <c r="C283" s="6">
        <v>4435.9599609999996</v>
      </c>
      <c r="D283" s="6">
        <v>4376.5200199999999</v>
      </c>
      <c r="E283" s="6">
        <v>4435.9599609999996</v>
      </c>
      <c r="F283" s="6">
        <v>4435.9599609999996</v>
      </c>
      <c r="G283" s="4">
        <v>2117920000</v>
      </c>
      <c r="H283">
        <f t="shared" si="4"/>
        <v>2.2443646725309973E-2</v>
      </c>
    </row>
    <row r="284" spans="1:8" x14ac:dyDescent="0.3">
      <c r="A284" s="5">
        <v>42417</v>
      </c>
      <c r="B284" s="6">
        <v>4471.6601559999999</v>
      </c>
      <c r="C284" s="6">
        <v>4540.7797849999997</v>
      </c>
      <c r="D284" s="6">
        <v>4463.5097660000001</v>
      </c>
      <c r="E284" s="6">
        <v>4534.0600590000004</v>
      </c>
      <c r="F284" s="6">
        <v>4534.0600590000004</v>
      </c>
      <c r="G284" s="4">
        <v>2296440000</v>
      </c>
      <c r="H284">
        <f t="shared" si="4"/>
        <v>2.1873754835303735E-2</v>
      </c>
    </row>
    <row r="285" spans="1:8" x14ac:dyDescent="0.3">
      <c r="A285" s="5">
        <v>42418</v>
      </c>
      <c r="B285" s="6">
        <v>4548.1000979999999</v>
      </c>
      <c r="C285" s="6">
        <v>4548.4702150000003</v>
      </c>
      <c r="D285" s="6">
        <v>4482.7700199999999</v>
      </c>
      <c r="E285" s="6">
        <v>4487.5400390000004</v>
      </c>
      <c r="F285" s="6">
        <v>4487.5400390000004</v>
      </c>
      <c r="G285" s="4">
        <v>1955870000</v>
      </c>
      <c r="H285">
        <f t="shared" si="4"/>
        <v>-1.0313122244007954E-2</v>
      </c>
    </row>
    <row r="286" spans="1:8" x14ac:dyDescent="0.3">
      <c r="A286" s="5">
        <v>42419</v>
      </c>
      <c r="B286" s="6">
        <v>4464.669922</v>
      </c>
      <c r="C286" s="6">
        <v>4513.1499020000001</v>
      </c>
      <c r="D286" s="6">
        <v>4455.1000979999999</v>
      </c>
      <c r="E286" s="6">
        <v>4504.4301759999998</v>
      </c>
      <c r="F286" s="6">
        <v>4504.4301759999998</v>
      </c>
      <c r="G286" s="4">
        <v>1903770000</v>
      </c>
      <c r="H286">
        <f t="shared" si="4"/>
        <v>3.7567199312893173E-3</v>
      </c>
    </row>
    <row r="287" spans="1:8" x14ac:dyDescent="0.3">
      <c r="A287" s="5">
        <v>42422</v>
      </c>
      <c r="B287" s="6">
        <v>4548.3100590000004</v>
      </c>
      <c r="C287" s="6">
        <v>4576.4702150000003</v>
      </c>
      <c r="D287" s="6">
        <v>4546.5498049999997</v>
      </c>
      <c r="E287" s="6">
        <v>4570.6098629999997</v>
      </c>
      <c r="F287" s="6">
        <v>4570.6098629999997</v>
      </c>
      <c r="G287" s="4">
        <v>1794020000</v>
      </c>
      <c r="H287">
        <f t="shared" si="4"/>
        <v>1.458524919097633E-2</v>
      </c>
    </row>
    <row r="288" spans="1:8" x14ac:dyDescent="0.3">
      <c r="A288" s="5">
        <v>42423</v>
      </c>
      <c r="B288" s="6">
        <v>4550.0498049999997</v>
      </c>
      <c r="C288" s="6">
        <v>4558.0600590000004</v>
      </c>
      <c r="D288" s="6">
        <v>4500.9399409999996</v>
      </c>
      <c r="E288" s="6">
        <v>4503.580078</v>
      </c>
      <c r="F288" s="6">
        <v>4503.580078</v>
      </c>
      <c r="G288" s="4">
        <v>1777750000</v>
      </c>
      <c r="H288">
        <f t="shared" si="4"/>
        <v>-1.4773991871890886E-2</v>
      </c>
    </row>
    <row r="289" spans="1:8" x14ac:dyDescent="0.3">
      <c r="A289" s="5">
        <v>42424</v>
      </c>
      <c r="B289" s="6">
        <v>4453.9301759999998</v>
      </c>
      <c r="C289" s="6">
        <v>4547.6401370000003</v>
      </c>
      <c r="D289" s="6">
        <v>4425.7202150000003</v>
      </c>
      <c r="E289" s="6">
        <v>4542.6098629999997</v>
      </c>
      <c r="F289" s="6">
        <v>4542.6098629999997</v>
      </c>
      <c r="G289" s="4">
        <v>1978180000</v>
      </c>
      <c r="H289">
        <f t="shared" si="4"/>
        <v>8.629053211549137E-3</v>
      </c>
    </row>
    <row r="290" spans="1:8" x14ac:dyDescent="0.3">
      <c r="A290" s="5">
        <v>42425</v>
      </c>
      <c r="B290" s="6">
        <v>4554.7299800000001</v>
      </c>
      <c r="C290" s="6">
        <v>4582.2001950000003</v>
      </c>
      <c r="D290" s="6">
        <v>4516.8901370000003</v>
      </c>
      <c r="E290" s="6">
        <v>4582.2001950000003</v>
      </c>
      <c r="F290" s="6">
        <v>4582.2001950000003</v>
      </c>
      <c r="G290" s="4">
        <v>1667840000</v>
      </c>
      <c r="H290">
        <f t="shared" si="4"/>
        <v>8.6775681198829717E-3</v>
      </c>
    </row>
    <row r="291" spans="1:8" x14ac:dyDescent="0.3">
      <c r="A291" s="5">
        <v>42426</v>
      </c>
      <c r="B291" s="6">
        <v>4615.1401370000003</v>
      </c>
      <c r="C291" s="6">
        <v>4618.8500979999999</v>
      </c>
      <c r="D291" s="6">
        <v>4580.7797849999997</v>
      </c>
      <c r="E291" s="6">
        <v>4590.4702150000003</v>
      </c>
      <c r="F291" s="6">
        <v>4590.4702150000003</v>
      </c>
      <c r="G291" s="4">
        <v>1814920000</v>
      </c>
      <c r="H291">
        <f t="shared" si="4"/>
        <v>1.8031874843784761E-3</v>
      </c>
    </row>
    <row r="292" spans="1:8" x14ac:dyDescent="0.3">
      <c r="A292" s="5">
        <v>42429</v>
      </c>
      <c r="B292" s="6">
        <v>4585.2998049999997</v>
      </c>
      <c r="C292" s="6">
        <v>4619.8999020000001</v>
      </c>
      <c r="D292" s="6">
        <v>4557.4599609999996</v>
      </c>
      <c r="E292" s="6">
        <v>4557.9501950000003</v>
      </c>
      <c r="F292" s="6">
        <v>4557.9501950000003</v>
      </c>
      <c r="G292" s="4">
        <v>2065260000</v>
      </c>
      <c r="H292">
        <f t="shared" si="4"/>
        <v>-7.1094583584595051E-3</v>
      </c>
    </row>
    <row r="293" spans="1:8" x14ac:dyDescent="0.3">
      <c r="A293" s="5">
        <v>42430</v>
      </c>
      <c r="B293" s="6">
        <v>4596.0097660000001</v>
      </c>
      <c r="C293" s="6">
        <v>4689.6000979999999</v>
      </c>
      <c r="D293" s="6">
        <v>4581.75</v>
      </c>
      <c r="E293" s="6">
        <v>4689.6000979999999</v>
      </c>
      <c r="F293" s="6">
        <v>4689.6000979999999</v>
      </c>
      <c r="G293" s="4">
        <v>2080150000</v>
      </c>
      <c r="H293">
        <f t="shared" si="4"/>
        <v>2.8474308049643224E-2</v>
      </c>
    </row>
    <row r="294" spans="1:8" x14ac:dyDescent="0.3">
      <c r="A294" s="5">
        <v>42431</v>
      </c>
      <c r="B294" s="6">
        <v>4683.7998049999997</v>
      </c>
      <c r="C294" s="6">
        <v>4703.580078</v>
      </c>
      <c r="D294" s="6">
        <v>4665.9301759999998</v>
      </c>
      <c r="E294" s="6">
        <v>4703.419922</v>
      </c>
      <c r="F294" s="6">
        <v>4703.419922</v>
      </c>
      <c r="G294" s="4">
        <v>1912510000</v>
      </c>
      <c r="H294">
        <f t="shared" si="4"/>
        <v>2.9425752191388922E-3</v>
      </c>
    </row>
    <row r="295" spans="1:8" x14ac:dyDescent="0.3">
      <c r="A295" s="5">
        <v>42432</v>
      </c>
      <c r="B295" s="6">
        <v>4698.3798829999996</v>
      </c>
      <c r="C295" s="6">
        <v>4707.7202150000003</v>
      </c>
      <c r="D295" s="6">
        <v>4674.4599609999996</v>
      </c>
      <c r="E295" s="6">
        <v>4707.419922</v>
      </c>
      <c r="F295" s="6">
        <v>4707.419922</v>
      </c>
      <c r="G295" s="4">
        <v>1936290000</v>
      </c>
      <c r="H295">
        <f t="shared" si="4"/>
        <v>8.5008358598959719E-4</v>
      </c>
    </row>
    <row r="296" spans="1:8" x14ac:dyDescent="0.3">
      <c r="A296" s="5">
        <v>42433</v>
      </c>
      <c r="B296" s="6">
        <v>4715.7597660000001</v>
      </c>
      <c r="C296" s="6">
        <v>4746.6499020000001</v>
      </c>
      <c r="D296" s="6">
        <v>4687.9399409999996</v>
      </c>
      <c r="E296" s="6">
        <v>4717.0200199999999</v>
      </c>
      <c r="F296" s="6">
        <v>4717.0200199999999</v>
      </c>
      <c r="G296" s="4">
        <v>2171230000</v>
      </c>
      <c r="H296">
        <f t="shared" si="4"/>
        <v>2.0372778392170458E-3</v>
      </c>
    </row>
    <row r="297" spans="1:8" x14ac:dyDescent="0.3">
      <c r="A297" s="5">
        <v>42436</v>
      </c>
      <c r="B297" s="6">
        <v>4690.8798829999996</v>
      </c>
      <c r="C297" s="6">
        <v>4731.1899409999996</v>
      </c>
      <c r="D297" s="6">
        <v>4674.8198240000002</v>
      </c>
      <c r="E297" s="6">
        <v>4708.25</v>
      </c>
      <c r="F297" s="6">
        <v>4708.25</v>
      </c>
      <c r="G297" s="4">
        <v>2084390000</v>
      </c>
      <c r="H297">
        <f t="shared" si="4"/>
        <v>-1.8609594234214651E-3</v>
      </c>
    </row>
    <row r="298" spans="1:8" x14ac:dyDescent="0.3">
      <c r="A298" s="5">
        <v>42437</v>
      </c>
      <c r="B298" s="6">
        <v>4676.2202150000003</v>
      </c>
      <c r="C298" s="6">
        <v>4695.0400390000004</v>
      </c>
      <c r="D298" s="6">
        <v>4642.8598629999997</v>
      </c>
      <c r="E298" s="6">
        <v>4648.8198240000002</v>
      </c>
      <c r="F298" s="6">
        <v>4648.8198240000002</v>
      </c>
      <c r="G298" s="4">
        <v>1993060000</v>
      </c>
      <c r="H298">
        <f t="shared" si="4"/>
        <v>-1.2702902996775218E-2</v>
      </c>
    </row>
    <row r="299" spans="1:8" x14ac:dyDescent="0.3">
      <c r="A299" s="5">
        <v>42438</v>
      </c>
      <c r="B299" s="6">
        <v>4666.419922</v>
      </c>
      <c r="C299" s="6">
        <v>4676.4702150000003</v>
      </c>
      <c r="D299" s="6">
        <v>4642.419922</v>
      </c>
      <c r="E299" s="6">
        <v>4674.3798829999996</v>
      </c>
      <c r="F299" s="6">
        <v>4674.3798829999996</v>
      </c>
      <c r="G299" s="4">
        <v>1789550000</v>
      </c>
      <c r="H299">
        <f t="shared" si="4"/>
        <v>5.4831224989402684E-3</v>
      </c>
    </row>
    <row r="300" spans="1:8" x14ac:dyDescent="0.3">
      <c r="A300" s="5">
        <v>42439</v>
      </c>
      <c r="B300" s="6">
        <v>4691.2001950000003</v>
      </c>
      <c r="C300" s="6">
        <v>4716.1401370000003</v>
      </c>
      <c r="D300" s="6">
        <v>4607.9902339999999</v>
      </c>
      <c r="E300" s="6">
        <v>4662.1601559999999</v>
      </c>
      <c r="F300" s="6">
        <v>4662.1601559999999</v>
      </c>
      <c r="G300" s="4">
        <v>1936470000</v>
      </c>
      <c r="H300">
        <f t="shared" si="4"/>
        <v>-2.6176150750335057E-3</v>
      </c>
    </row>
    <row r="301" spans="1:8" x14ac:dyDescent="0.3">
      <c r="A301" s="5">
        <v>42440</v>
      </c>
      <c r="B301" s="6">
        <v>4712.3798829999996</v>
      </c>
      <c r="C301" s="6">
        <v>4748.7900390000004</v>
      </c>
      <c r="D301" s="6">
        <v>4700.9101559999999</v>
      </c>
      <c r="E301" s="6">
        <v>4748.4702150000003</v>
      </c>
      <c r="F301" s="6">
        <v>4748.4702150000003</v>
      </c>
      <c r="G301" s="4">
        <v>1801790000</v>
      </c>
      <c r="H301">
        <f t="shared" si="4"/>
        <v>1.8343612654239481E-2</v>
      </c>
    </row>
    <row r="302" spans="1:8" x14ac:dyDescent="0.3">
      <c r="A302" s="5">
        <v>42443</v>
      </c>
      <c r="B302" s="6">
        <v>4733.3901370000003</v>
      </c>
      <c r="C302" s="6">
        <v>4762.2700199999999</v>
      </c>
      <c r="D302" s="6">
        <v>4731.5097660000001</v>
      </c>
      <c r="E302" s="6">
        <v>4750.2797849999997</v>
      </c>
      <c r="F302" s="6">
        <v>4750.2797849999997</v>
      </c>
      <c r="G302" s="4">
        <v>1615100000</v>
      </c>
      <c r="H302">
        <f t="shared" si="4"/>
        <v>3.8101224306152817E-4</v>
      </c>
    </row>
    <row r="303" spans="1:8" x14ac:dyDescent="0.3">
      <c r="A303" s="5">
        <v>42444</v>
      </c>
      <c r="B303" s="6">
        <v>4731.1401370000003</v>
      </c>
      <c r="C303" s="6">
        <v>4735.2700199999999</v>
      </c>
      <c r="D303" s="6">
        <v>4712.0698240000002</v>
      </c>
      <c r="E303" s="6">
        <v>4728.669922</v>
      </c>
      <c r="F303" s="6">
        <v>4728.669922</v>
      </c>
      <c r="G303" s="4">
        <v>1692420000</v>
      </c>
      <c r="H303">
        <f t="shared" si="4"/>
        <v>-4.5595558803957674E-3</v>
      </c>
    </row>
    <row r="304" spans="1:8" x14ac:dyDescent="0.3">
      <c r="A304" s="5">
        <v>42445</v>
      </c>
      <c r="B304" s="6">
        <v>4717.8798829999996</v>
      </c>
      <c r="C304" s="6">
        <v>4774.7797849999997</v>
      </c>
      <c r="D304" s="6">
        <v>4716.4501950000003</v>
      </c>
      <c r="E304" s="6">
        <v>4763.9702150000003</v>
      </c>
      <c r="F304" s="6">
        <v>4763.9702150000003</v>
      </c>
      <c r="G304" s="4">
        <v>1781060000</v>
      </c>
      <c r="H304">
        <f t="shared" si="4"/>
        <v>7.4374368376765743E-3</v>
      </c>
    </row>
    <row r="305" spans="1:8" x14ac:dyDescent="0.3">
      <c r="A305" s="5">
        <v>42446</v>
      </c>
      <c r="B305" s="6">
        <v>4752.6201170000004</v>
      </c>
      <c r="C305" s="6">
        <v>4788.0898440000001</v>
      </c>
      <c r="D305" s="6">
        <v>4737.9702150000003</v>
      </c>
      <c r="E305" s="6">
        <v>4774.9902339999999</v>
      </c>
      <c r="F305" s="6">
        <v>4774.9902339999999</v>
      </c>
      <c r="G305" s="4">
        <v>1907190000</v>
      </c>
      <c r="H305">
        <f t="shared" si="4"/>
        <v>2.3105293205669905E-3</v>
      </c>
    </row>
    <row r="306" spans="1:8" x14ac:dyDescent="0.3">
      <c r="A306" s="5">
        <v>42447</v>
      </c>
      <c r="B306" s="6">
        <v>4784.6298829999996</v>
      </c>
      <c r="C306" s="6">
        <v>4804.580078</v>
      </c>
      <c r="D306" s="6">
        <v>4772.4101559999999</v>
      </c>
      <c r="E306" s="6">
        <v>4795.6499020000001</v>
      </c>
      <c r="F306" s="6">
        <v>4795.6499020000001</v>
      </c>
      <c r="G306" s="4">
        <v>2829040000</v>
      </c>
      <c r="H306">
        <f t="shared" si="4"/>
        <v>4.317307890861319E-3</v>
      </c>
    </row>
    <row r="307" spans="1:8" x14ac:dyDescent="0.3">
      <c r="A307" s="5">
        <v>42450</v>
      </c>
      <c r="B307" s="6">
        <v>4787.3100590000004</v>
      </c>
      <c r="C307" s="6">
        <v>4814.8500979999999</v>
      </c>
      <c r="D307" s="6">
        <v>4785.3798829999996</v>
      </c>
      <c r="E307" s="6">
        <v>4808.8701170000004</v>
      </c>
      <c r="F307" s="6">
        <v>4808.8701170000004</v>
      </c>
      <c r="G307" s="4">
        <v>1609230000</v>
      </c>
      <c r="H307">
        <f t="shared" si="4"/>
        <v>2.7529170271956356E-3</v>
      </c>
    </row>
    <row r="308" spans="1:8" x14ac:dyDescent="0.3">
      <c r="A308" s="5">
        <v>42451</v>
      </c>
      <c r="B308" s="6">
        <v>4783.6000979999999</v>
      </c>
      <c r="C308" s="6">
        <v>4835.6000979999999</v>
      </c>
      <c r="D308" s="6">
        <v>4781.7099609999996</v>
      </c>
      <c r="E308" s="6">
        <v>4821.6601559999999</v>
      </c>
      <c r="F308" s="6">
        <v>4821.6601559999999</v>
      </c>
      <c r="G308" s="4">
        <v>1596200000</v>
      </c>
      <c r="H308">
        <f t="shared" si="4"/>
        <v>2.6561458522075298E-3</v>
      </c>
    </row>
    <row r="309" spans="1:8" x14ac:dyDescent="0.3">
      <c r="A309" s="5">
        <v>42452</v>
      </c>
      <c r="B309" s="6">
        <v>4813.8701170000004</v>
      </c>
      <c r="C309" s="6">
        <v>4816.669922</v>
      </c>
      <c r="D309" s="6">
        <v>4765.3701170000004</v>
      </c>
      <c r="E309" s="6">
        <v>4768.8598629999997</v>
      </c>
      <c r="F309" s="6">
        <v>4768.8598629999997</v>
      </c>
      <c r="G309" s="4">
        <v>1732630000</v>
      </c>
      <c r="H309">
        <f t="shared" si="4"/>
        <v>-1.1011045567294613E-2</v>
      </c>
    </row>
    <row r="310" spans="1:8" x14ac:dyDescent="0.3">
      <c r="A310" s="5">
        <v>42453</v>
      </c>
      <c r="B310" s="6">
        <v>4743.3598629999997</v>
      </c>
      <c r="C310" s="6">
        <v>4773.5</v>
      </c>
      <c r="D310" s="6">
        <v>4734.7700199999999</v>
      </c>
      <c r="E310" s="6">
        <v>4773.5</v>
      </c>
      <c r="F310" s="6">
        <v>4773.5</v>
      </c>
      <c r="G310" s="4">
        <v>1590990000</v>
      </c>
      <c r="H310">
        <f t="shared" si="4"/>
        <v>9.725345579810026E-4</v>
      </c>
    </row>
    <row r="311" spans="1:8" x14ac:dyDescent="0.3">
      <c r="A311" s="5">
        <v>42457</v>
      </c>
      <c r="B311" s="6">
        <v>4785.25</v>
      </c>
      <c r="C311" s="6">
        <v>4787.3901370000003</v>
      </c>
      <c r="D311" s="6">
        <v>4760.0097660000001</v>
      </c>
      <c r="E311" s="6">
        <v>4766.7900390000004</v>
      </c>
      <c r="F311" s="6">
        <v>4766.7900390000004</v>
      </c>
      <c r="G311" s="4">
        <v>1381000000</v>
      </c>
      <c r="H311">
        <f t="shared" si="4"/>
        <v>-1.4066578854476832E-3</v>
      </c>
    </row>
    <row r="312" spans="1:8" x14ac:dyDescent="0.3">
      <c r="A312" s="5">
        <v>42458</v>
      </c>
      <c r="B312" s="6">
        <v>4756.5498049999997</v>
      </c>
      <c r="C312" s="6">
        <v>4849.3100590000004</v>
      </c>
      <c r="D312" s="6">
        <v>4749.7797849999997</v>
      </c>
      <c r="E312" s="6">
        <v>4846.6201170000004</v>
      </c>
      <c r="F312" s="6">
        <v>4846.6201170000004</v>
      </c>
      <c r="G312" s="4">
        <v>1806490000</v>
      </c>
      <c r="H312">
        <f t="shared" si="4"/>
        <v>1.6608448350210973E-2</v>
      </c>
    </row>
    <row r="313" spans="1:8" x14ac:dyDescent="0.3">
      <c r="A313" s="5">
        <v>42459</v>
      </c>
      <c r="B313" s="6">
        <v>4875.4599609999996</v>
      </c>
      <c r="C313" s="6">
        <v>4899.1401370000003</v>
      </c>
      <c r="D313" s="6">
        <v>4859.3500979999999</v>
      </c>
      <c r="E313" s="6">
        <v>4869.2900390000004</v>
      </c>
      <c r="F313" s="6">
        <v>4869.2900390000004</v>
      </c>
      <c r="G313" s="4">
        <v>1717820000</v>
      </c>
      <c r="H313">
        <f t="shared" si="4"/>
        <v>4.6665650002750041E-3</v>
      </c>
    </row>
    <row r="314" spans="1:8" x14ac:dyDescent="0.3">
      <c r="A314" s="5">
        <v>42460</v>
      </c>
      <c r="B314" s="6">
        <v>4869.5698240000002</v>
      </c>
      <c r="C314" s="6">
        <v>4891.2998049999997</v>
      </c>
      <c r="D314" s="6">
        <v>4864.4101559999999</v>
      </c>
      <c r="E314" s="6">
        <v>4869.8500979999999</v>
      </c>
      <c r="F314" s="6">
        <v>4869.8500979999999</v>
      </c>
      <c r="G314" s="4">
        <v>1774270000</v>
      </c>
      <c r="H314">
        <f t="shared" si="4"/>
        <v>1.150120016220886E-4</v>
      </c>
    </row>
    <row r="315" spans="1:8" x14ac:dyDescent="0.3">
      <c r="A315" s="5">
        <v>42461</v>
      </c>
      <c r="B315" s="6">
        <v>4842.5498049999997</v>
      </c>
      <c r="C315" s="6">
        <v>4917.0898440000001</v>
      </c>
      <c r="D315" s="6">
        <v>4832.0600590000004</v>
      </c>
      <c r="E315" s="6">
        <v>4914.5400390000004</v>
      </c>
      <c r="F315" s="6">
        <v>4914.5400390000004</v>
      </c>
      <c r="G315" s="4">
        <v>1812250000</v>
      </c>
      <c r="H315">
        <f t="shared" si="4"/>
        <v>9.1350101844265459E-3</v>
      </c>
    </row>
    <row r="316" spans="1:8" x14ac:dyDescent="0.3">
      <c r="A316" s="5">
        <v>42464</v>
      </c>
      <c r="B316" s="6">
        <v>4911.2099609999996</v>
      </c>
      <c r="C316" s="6">
        <v>4917.75</v>
      </c>
      <c r="D316" s="6">
        <v>4885.169922</v>
      </c>
      <c r="E316" s="6">
        <v>4891.7998049999997</v>
      </c>
      <c r="F316" s="6">
        <v>4891.7998049999997</v>
      </c>
      <c r="G316" s="4">
        <v>1705730000</v>
      </c>
      <c r="H316">
        <f t="shared" si="4"/>
        <v>-4.6378720548826292E-3</v>
      </c>
    </row>
    <row r="317" spans="1:8" x14ac:dyDescent="0.3">
      <c r="A317" s="5">
        <v>42465</v>
      </c>
      <c r="B317" s="6">
        <v>4855.8999020000001</v>
      </c>
      <c r="C317" s="6">
        <v>4872.7001950000003</v>
      </c>
      <c r="D317" s="6">
        <v>4838.6201170000004</v>
      </c>
      <c r="E317" s="6">
        <v>4843.9301759999998</v>
      </c>
      <c r="F317" s="6">
        <v>4843.9301759999998</v>
      </c>
      <c r="G317" s="4">
        <v>1726010000</v>
      </c>
      <c r="H317">
        <f t="shared" si="4"/>
        <v>-9.8338829986430124E-3</v>
      </c>
    </row>
    <row r="318" spans="1:8" x14ac:dyDescent="0.3">
      <c r="A318" s="5">
        <v>42466</v>
      </c>
      <c r="B318" s="6">
        <v>4849.580078</v>
      </c>
      <c r="C318" s="6">
        <v>4921.5097660000001</v>
      </c>
      <c r="D318" s="6">
        <v>4849.2797849999997</v>
      </c>
      <c r="E318" s="6">
        <v>4920.7202150000003</v>
      </c>
      <c r="F318" s="6">
        <v>4920.7202150000003</v>
      </c>
      <c r="G318" s="4">
        <v>1761770000</v>
      </c>
      <c r="H318">
        <f t="shared" si="4"/>
        <v>1.5728493900044067E-2</v>
      </c>
    </row>
    <row r="319" spans="1:8" x14ac:dyDescent="0.3">
      <c r="A319" s="5">
        <v>42467</v>
      </c>
      <c r="B319" s="6">
        <v>4893.5698240000002</v>
      </c>
      <c r="C319" s="6">
        <v>4901.4902339999999</v>
      </c>
      <c r="D319" s="6">
        <v>4831.4902339999999</v>
      </c>
      <c r="E319" s="6">
        <v>4848.3701170000004</v>
      </c>
      <c r="F319" s="6">
        <v>4848.3701170000004</v>
      </c>
      <c r="G319" s="4">
        <v>1908940000</v>
      </c>
      <c r="H319">
        <f t="shared" si="4"/>
        <v>-1.4812314834941158E-2</v>
      </c>
    </row>
    <row r="320" spans="1:8" x14ac:dyDescent="0.3">
      <c r="A320" s="5">
        <v>42468</v>
      </c>
      <c r="B320" s="6">
        <v>4883.9902339999999</v>
      </c>
      <c r="C320" s="6">
        <v>4892.6000979999999</v>
      </c>
      <c r="D320" s="6">
        <v>4835.3598629999997</v>
      </c>
      <c r="E320" s="6">
        <v>4850.6899409999996</v>
      </c>
      <c r="F320" s="6">
        <v>4850.6899409999996</v>
      </c>
      <c r="G320" s="4">
        <v>1588830000</v>
      </c>
      <c r="H320">
        <f t="shared" si="4"/>
        <v>4.7836058965794692E-4</v>
      </c>
    </row>
    <row r="321" spans="1:8" x14ac:dyDescent="0.3">
      <c r="A321" s="5">
        <v>42471</v>
      </c>
      <c r="B321" s="6">
        <v>4873.3901370000003</v>
      </c>
      <c r="C321" s="6">
        <v>4897.5498049999997</v>
      </c>
      <c r="D321" s="6">
        <v>4833.3999020000001</v>
      </c>
      <c r="E321" s="6">
        <v>4833.3999020000001</v>
      </c>
      <c r="F321" s="6">
        <v>4833.3999020000001</v>
      </c>
      <c r="G321" s="4">
        <v>1545540000</v>
      </c>
      <c r="H321">
        <f t="shared" si="4"/>
        <v>-3.5708172171120371E-3</v>
      </c>
    </row>
    <row r="322" spans="1:8" x14ac:dyDescent="0.3">
      <c r="A322" s="5">
        <v>42472</v>
      </c>
      <c r="B322" s="6">
        <v>4838.8198240000002</v>
      </c>
      <c r="C322" s="6">
        <v>4879.6000979999999</v>
      </c>
      <c r="D322" s="6">
        <v>4808.9101559999999</v>
      </c>
      <c r="E322" s="6">
        <v>4872.0898440000001</v>
      </c>
      <c r="F322" s="6">
        <v>4872.0898440000001</v>
      </c>
      <c r="G322" s="4">
        <v>1759280000</v>
      </c>
      <c r="H322">
        <f t="shared" si="4"/>
        <v>7.9728376331036389E-3</v>
      </c>
    </row>
    <row r="323" spans="1:8" x14ac:dyDescent="0.3">
      <c r="A323" s="5">
        <v>42473</v>
      </c>
      <c r="B323" s="6">
        <v>4904.7900390000004</v>
      </c>
      <c r="C323" s="6">
        <v>4951.9101559999999</v>
      </c>
      <c r="D323" s="6">
        <v>4903.6000979999999</v>
      </c>
      <c r="E323" s="6">
        <v>4947.419922</v>
      </c>
      <c r="F323" s="6">
        <v>4947.419922</v>
      </c>
      <c r="G323" s="4">
        <v>1936450000</v>
      </c>
      <c r="H323">
        <f t="shared" si="4"/>
        <v>1.5343241691075314E-2</v>
      </c>
    </row>
    <row r="324" spans="1:8" x14ac:dyDescent="0.3">
      <c r="A324" s="5">
        <v>42474</v>
      </c>
      <c r="B324" s="6">
        <v>4947.6201170000004</v>
      </c>
      <c r="C324" s="6">
        <v>4961.2998049999997</v>
      </c>
      <c r="D324" s="6">
        <v>4931.8100590000004</v>
      </c>
      <c r="E324" s="6">
        <v>4945.8901370000003</v>
      </c>
      <c r="F324" s="6">
        <v>4945.8901370000003</v>
      </c>
      <c r="G324" s="4">
        <v>1645810000</v>
      </c>
      <c r="H324">
        <f t="shared" ref="H324:H387" si="5">LN(E324/E323)</f>
        <v>-3.0925645776169595E-4</v>
      </c>
    </row>
    <row r="325" spans="1:8" x14ac:dyDescent="0.3">
      <c r="A325" s="5">
        <v>42475</v>
      </c>
      <c r="B325" s="6">
        <v>4938.830078</v>
      </c>
      <c r="C325" s="6">
        <v>4950.4301759999998</v>
      </c>
      <c r="D325" s="6">
        <v>4925.4599609999996</v>
      </c>
      <c r="E325" s="6">
        <v>4938.2202150000003</v>
      </c>
      <c r="F325" s="6">
        <v>4938.2202150000003</v>
      </c>
      <c r="G325" s="4">
        <v>1684790000</v>
      </c>
      <c r="H325">
        <f t="shared" si="5"/>
        <v>-1.5519704386823649E-3</v>
      </c>
    </row>
    <row r="326" spans="1:8" x14ac:dyDescent="0.3">
      <c r="A326" s="5">
        <v>42478</v>
      </c>
      <c r="B326" s="6">
        <v>4919.3598629999997</v>
      </c>
      <c r="C326" s="6">
        <v>4960.7900390000004</v>
      </c>
      <c r="D326" s="6">
        <v>4915.6298829999996</v>
      </c>
      <c r="E326" s="6">
        <v>4960.0200199999999</v>
      </c>
      <c r="F326" s="6">
        <v>4960.0200199999999</v>
      </c>
      <c r="G326" s="4">
        <v>1672260000</v>
      </c>
      <c r="H326">
        <f t="shared" si="5"/>
        <v>4.404791100117109E-3</v>
      </c>
    </row>
    <row r="327" spans="1:8" x14ac:dyDescent="0.3">
      <c r="A327" s="5">
        <v>42479</v>
      </c>
      <c r="B327" s="6">
        <v>4968.2998049999997</v>
      </c>
      <c r="C327" s="6">
        <v>4968.669922</v>
      </c>
      <c r="D327" s="6">
        <v>4915.5200199999999</v>
      </c>
      <c r="E327" s="6">
        <v>4940.330078</v>
      </c>
      <c r="F327" s="6">
        <v>4940.330078</v>
      </c>
      <c r="G327" s="4">
        <v>1824250000</v>
      </c>
      <c r="H327">
        <f t="shared" si="5"/>
        <v>-3.9776306424584929E-3</v>
      </c>
    </row>
    <row r="328" spans="1:8" x14ac:dyDescent="0.3">
      <c r="A328" s="5">
        <v>42480</v>
      </c>
      <c r="B328" s="6">
        <v>4941.9902339999999</v>
      </c>
      <c r="C328" s="6">
        <v>4969.3198240000002</v>
      </c>
      <c r="D328" s="6">
        <v>4928.2900390000004</v>
      </c>
      <c r="E328" s="6">
        <v>4948.1298829999996</v>
      </c>
      <c r="F328" s="6">
        <v>4948.1298829999996</v>
      </c>
      <c r="G328" s="4">
        <v>1781340000</v>
      </c>
      <c r="H328">
        <f t="shared" si="5"/>
        <v>1.5775574049687045E-3</v>
      </c>
    </row>
    <row r="329" spans="1:8" x14ac:dyDescent="0.3">
      <c r="A329" s="5">
        <v>42481</v>
      </c>
      <c r="B329" s="6">
        <v>4949.1201170000004</v>
      </c>
      <c r="C329" s="6">
        <v>4966.6098629999997</v>
      </c>
      <c r="D329" s="6">
        <v>4932.6401370000003</v>
      </c>
      <c r="E329" s="6">
        <v>4945.8901370000003</v>
      </c>
      <c r="F329" s="6">
        <v>4945.8901370000003</v>
      </c>
      <c r="G329" s="4">
        <v>1758190000</v>
      </c>
      <c r="H329">
        <f t="shared" si="5"/>
        <v>-4.5274742394507163E-4</v>
      </c>
    </row>
    <row r="330" spans="1:8" x14ac:dyDescent="0.3">
      <c r="A330" s="5">
        <v>42482</v>
      </c>
      <c r="B330" s="6">
        <v>4898.2402339999999</v>
      </c>
      <c r="C330" s="6">
        <v>4921.6601559999999</v>
      </c>
      <c r="D330" s="6">
        <v>4872.0200199999999</v>
      </c>
      <c r="E330" s="6">
        <v>4906.2299800000001</v>
      </c>
      <c r="F330" s="6">
        <v>4906.2299800000001</v>
      </c>
      <c r="G330" s="4">
        <v>2018930000</v>
      </c>
      <c r="H330">
        <f t="shared" si="5"/>
        <v>-8.0511343268759531E-3</v>
      </c>
    </row>
    <row r="331" spans="1:8" x14ac:dyDescent="0.3">
      <c r="A331" s="5">
        <v>42485</v>
      </c>
      <c r="B331" s="6">
        <v>4891.4799800000001</v>
      </c>
      <c r="C331" s="6">
        <v>4904.8701170000004</v>
      </c>
      <c r="D331" s="6">
        <v>4878.3701170000004</v>
      </c>
      <c r="E331" s="6">
        <v>4895.7900390000004</v>
      </c>
      <c r="F331" s="6">
        <v>4895.7900390000004</v>
      </c>
      <c r="G331" s="4">
        <v>1582270000</v>
      </c>
      <c r="H331">
        <f t="shared" si="5"/>
        <v>-2.1301619314067176E-3</v>
      </c>
    </row>
    <row r="332" spans="1:8" x14ac:dyDescent="0.3">
      <c r="A332" s="5">
        <v>42486</v>
      </c>
      <c r="B332" s="6">
        <v>4903.8100590000004</v>
      </c>
      <c r="C332" s="6">
        <v>4915</v>
      </c>
      <c r="D332" s="6">
        <v>4875.419922</v>
      </c>
      <c r="E332" s="6">
        <v>4888.2797849999997</v>
      </c>
      <c r="F332" s="6">
        <v>4888.2797849999997</v>
      </c>
      <c r="G332" s="4">
        <v>1825020000</v>
      </c>
      <c r="H332">
        <f t="shared" si="5"/>
        <v>-1.5352007109797649E-3</v>
      </c>
    </row>
    <row r="333" spans="1:8" x14ac:dyDescent="0.3">
      <c r="A333" s="5">
        <v>42487</v>
      </c>
      <c r="B333" s="6">
        <v>4855.3798829999996</v>
      </c>
      <c r="C333" s="6">
        <v>4872.9101559999999</v>
      </c>
      <c r="D333" s="6">
        <v>4826.3798829999996</v>
      </c>
      <c r="E333" s="6">
        <v>4863.1401370000003</v>
      </c>
      <c r="F333" s="6">
        <v>4863.1401370000003</v>
      </c>
      <c r="G333" s="4">
        <v>1938780000</v>
      </c>
      <c r="H333">
        <f t="shared" si="5"/>
        <v>-5.1561113964681887E-3</v>
      </c>
    </row>
    <row r="334" spans="1:8" x14ac:dyDescent="0.3">
      <c r="A334" s="5">
        <v>42488</v>
      </c>
      <c r="B334" s="6">
        <v>4857.6000979999999</v>
      </c>
      <c r="C334" s="6">
        <v>4889.1601559999999</v>
      </c>
      <c r="D334" s="6">
        <v>4796.3198240000002</v>
      </c>
      <c r="E334" s="6">
        <v>4805.2900390000004</v>
      </c>
      <c r="F334" s="6">
        <v>4805.2900390000004</v>
      </c>
      <c r="G334" s="4">
        <v>2161400000</v>
      </c>
      <c r="H334">
        <f t="shared" si="5"/>
        <v>-1.1966945476626321E-2</v>
      </c>
    </row>
    <row r="335" spans="1:8" x14ac:dyDescent="0.3">
      <c r="A335" s="5">
        <v>42489</v>
      </c>
      <c r="B335" s="6">
        <v>4805.7900390000004</v>
      </c>
      <c r="C335" s="6">
        <v>4807.8901370000003</v>
      </c>
      <c r="D335" s="6">
        <v>4740.8398440000001</v>
      </c>
      <c r="E335" s="6">
        <v>4775.3598629999997</v>
      </c>
      <c r="F335" s="6">
        <v>4775.3598629999997</v>
      </c>
      <c r="G335" s="4">
        <v>2376460000</v>
      </c>
      <c r="H335">
        <f t="shared" si="5"/>
        <v>-6.248067443191941E-3</v>
      </c>
    </row>
    <row r="336" spans="1:8" x14ac:dyDescent="0.3">
      <c r="A336" s="5">
        <v>42492</v>
      </c>
      <c r="B336" s="6">
        <v>4786.5498049999997</v>
      </c>
      <c r="C336" s="6">
        <v>4821.5698240000002</v>
      </c>
      <c r="D336" s="6">
        <v>4768.2797849999997</v>
      </c>
      <c r="E336" s="6">
        <v>4817.5898440000001</v>
      </c>
      <c r="F336" s="6">
        <v>4817.5898440000001</v>
      </c>
      <c r="G336" s="4">
        <v>1880460000</v>
      </c>
      <c r="H336">
        <f t="shared" si="5"/>
        <v>8.8044355674611156E-3</v>
      </c>
    </row>
    <row r="337" spans="1:8" x14ac:dyDescent="0.3">
      <c r="A337" s="5">
        <v>42493</v>
      </c>
      <c r="B337" s="6">
        <v>4780.8798829999996</v>
      </c>
      <c r="C337" s="6">
        <v>4791.4301759999998</v>
      </c>
      <c r="D337" s="6">
        <v>4749.7099609999996</v>
      </c>
      <c r="E337" s="6">
        <v>4763.2202150000003</v>
      </c>
      <c r="F337" s="6">
        <v>4763.2202150000003</v>
      </c>
      <c r="G337" s="4">
        <v>1984340000</v>
      </c>
      <c r="H337">
        <f t="shared" si="5"/>
        <v>-1.1349815373487806E-2</v>
      </c>
    </row>
    <row r="338" spans="1:8" x14ac:dyDescent="0.3">
      <c r="A338" s="5">
        <v>42494</v>
      </c>
      <c r="B338" s="6">
        <v>4735.2797849999997</v>
      </c>
      <c r="C338" s="6">
        <v>4751.6401370000003</v>
      </c>
      <c r="D338" s="6">
        <v>4713.9101559999999</v>
      </c>
      <c r="E338" s="6">
        <v>4725.6401370000003</v>
      </c>
      <c r="F338" s="6">
        <v>4725.6401370000003</v>
      </c>
      <c r="G338" s="4">
        <v>1950800000</v>
      </c>
      <c r="H338">
        <f t="shared" si="5"/>
        <v>-7.920924766551948E-3</v>
      </c>
    </row>
    <row r="339" spans="1:8" x14ac:dyDescent="0.3">
      <c r="A339" s="5">
        <v>42495</v>
      </c>
      <c r="B339" s="6">
        <v>4742.419922</v>
      </c>
      <c r="C339" s="6">
        <v>4744.5498049999997</v>
      </c>
      <c r="D339" s="6">
        <v>4709.75</v>
      </c>
      <c r="E339" s="6">
        <v>4717.0898440000001</v>
      </c>
      <c r="F339" s="6">
        <v>4717.0898440000001</v>
      </c>
      <c r="G339" s="4">
        <v>1888350000</v>
      </c>
      <c r="H339">
        <f t="shared" si="5"/>
        <v>-1.8109795269022639E-3</v>
      </c>
    </row>
    <row r="340" spans="1:8" x14ac:dyDescent="0.3">
      <c r="A340" s="5">
        <v>42496</v>
      </c>
      <c r="B340" s="6">
        <v>4695.8999020000001</v>
      </c>
      <c r="C340" s="6">
        <v>4736.1601559999999</v>
      </c>
      <c r="D340" s="6">
        <v>4684.2797849999997</v>
      </c>
      <c r="E340" s="6">
        <v>4736.1601559999999</v>
      </c>
      <c r="F340" s="6">
        <v>4736.1601559999999</v>
      </c>
      <c r="G340" s="4">
        <v>1860800000</v>
      </c>
      <c r="H340">
        <f t="shared" si="5"/>
        <v>4.034662760356883E-3</v>
      </c>
    </row>
    <row r="341" spans="1:8" x14ac:dyDescent="0.3">
      <c r="A341" s="5">
        <v>42499</v>
      </c>
      <c r="B341" s="6">
        <v>4736.3500979999999</v>
      </c>
      <c r="C341" s="6">
        <v>4771.9399409999996</v>
      </c>
      <c r="D341" s="6">
        <v>4735.0600590000004</v>
      </c>
      <c r="E341" s="6">
        <v>4750.2099609999996</v>
      </c>
      <c r="F341" s="6">
        <v>4750.2099609999996</v>
      </c>
      <c r="G341" s="4">
        <v>1625100000</v>
      </c>
      <c r="H341">
        <f t="shared" si="5"/>
        <v>2.962105652540555E-3</v>
      </c>
    </row>
    <row r="342" spans="1:8" x14ac:dyDescent="0.3">
      <c r="A342" s="5">
        <v>42500</v>
      </c>
      <c r="B342" s="6">
        <v>4768.9101559999999</v>
      </c>
      <c r="C342" s="6">
        <v>4811.2998049999997</v>
      </c>
      <c r="D342" s="6">
        <v>4758.2001950000003</v>
      </c>
      <c r="E342" s="6">
        <v>4809.8798829999996</v>
      </c>
      <c r="F342" s="6">
        <v>4809.8798829999996</v>
      </c>
      <c r="G342" s="4">
        <v>1760120000</v>
      </c>
      <c r="H342">
        <f t="shared" si="5"/>
        <v>1.2483292071137376E-2</v>
      </c>
    </row>
    <row r="343" spans="1:8" x14ac:dyDescent="0.3">
      <c r="A343" s="5">
        <v>42501</v>
      </c>
      <c r="B343" s="6">
        <v>4799.2998049999997</v>
      </c>
      <c r="C343" s="6">
        <v>4812.1899409999996</v>
      </c>
      <c r="D343" s="6">
        <v>4760.3598629999997</v>
      </c>
      <c r="E343" s="6">
        <v>4760.6899409999996</v>
      </c>
      <c r="F343" s="6">
        <v>4760.6899409999996</v>
      </c>
      <c r="G343" s="4">
        <v>1859110000</v>
      </c>
      <c r="H343">
        <f t="shared" si="5"/>
        <v>-1.0279508128616058E-2</v>
      </c>
    </row>
    <row r="344" spans="1:8" x14ac:dyDescent="0.3">
      <c r="A344" s="5">
        <v>42502</v>
      </c>
      <c r="B344" s="6">
        <v>4778.1899409999996</v>
      </c>
      <c r="C344" s="6">
        <v>4779.4599609999996</v>
      </c>
      <c r="D344" s="6">
        <v>4710.169922</v>
      </c>
      <c r="E344" s="6">
        <v>4737.330078</v>
      </c>
      <c r="F344" s="6">
        <v>4737.330078</v>
      </c>
      <c r="G344" s="4">
        <v>1930450000</v>
      </c>
      <c r="H344">
        <f t="shared" si="5"/>
        <v>-4.9189010033076283E-3</v>
      </c>
    </row>
    <row r="345" spans="1:8" x14ac:dyDescent="0.3">
      <c r="A345" s="5">
        <v>42503</v>
      </c>
      <c r="B345" s="6">
        <v>4731.0698240000002</v>
      </c>
      <c r="C345" s="6">
        <v>4759.2900390000004</v>
      </c>
      <c r="D345" s="6">
        <v>4708.2597660000001</v>
      </c>
      <c r="E345" s="6">
        <v>4717.6801759999998</v>
      </c>
      <c r="F345" s="6">
        <v>4717.6801759999998</v>
      </c>
      <c r="G345" s="4">
        <v>1698030000</v>
      </c>
      <c r="H345">
        <f t="shared" si="5"/>
        <v>-4.156511682671689E-3</v>
      </c>
    </row>
    <row r="346" spans="1:8" x14ac:dyDescent="0.3">
      <c r="A346" s="5">
        <v>42506</v>
      </c>
      <c r="B346" s="6">
        <v>4728.8598629999997</v>
      </c>
      <c r="C346" s="6">
        <v>4791.25</v>
      </c>
      <c r="D346" s="6">
        <v>4724.7299800000001</v>
      </c>
      <c r="E346" s="6">
        <v>4775.4599609999996</v>
      </c>
      <c r="F346" s="6">
        <v>4775.4599609999996</v>
      </c>
      <c r="G346" s="4">
        <v>1741510000</v>
      </c>
      <c r="H346">
        <f t="shared" si="5"/>
        <v>1.2173105562561466E-2</v>
      </c>
    </row>
    <row r="347" spans="1:8" x14ac:dyDescent="0.3">
      <c r="A347" s="5">
        <v>42507</v>
      </c>
      <c r="B347" s="6">
        <v>4768.8500979999999</v>
      </c>
      <c r="C347" s="6">
        <v>4776.1499020000001</v>
      </c>
      <c r="D347" s="6">
        <v>4703.3901370000003</v>
      </c>
      <c r="E347" s="6">
        <v>4715.7299800000001</v>
      </c>
      <c r="F347" s="6">
        <v>4715.7299800000001</v>
      </c>
      <c r="G347" s="4">
        <v>1925230000</v>
      </c>
      <c r="H347">
        <f t="shared" si="5"/>
        <v>-1.2586571317899651E-2</v>
      </c>
    </row>
    <row r="348" spans="1:8" x14ac:dyDescent="0.3">
      <c r="A348" s="5">
        <v>42508</v>
      </c>
      <c r="B348" s="6">
        <v>4705.7797849999997</v>
      </c>
      <c r="C348" s="6">
        <v>4762.2797849999997</v>
      </c>
      <c r="D348" s="6">
        <v>4704.4902339999999</v>
      </c>
      <c r="E348" s="6">
        <v>4739.1201170000004</v>
      </c>
      <c r="F348" s="6">
        <v>4739.1201170000004</v>
      </c>
      <c r="G348" s="4">
        <v>1934100000</v>
      </c>
      <c r="H348">
        <f t="shared" si="5"/>
        <v>4.9477642641855002E-3</v>
      </c>
    </row>
    <row r="349" spans="1:8" x14ac:dyDescent="0.3">
      <c r="A349" s="5">
        <v>42509</v>
      </c>
      <c r="B349" s="6">
        <v>4717.3598629999997</v>
      </c>
      <c r="C349" s="6">
        <v>4735.2700199999999</v>
      </c>
      <c r="D349" s="6">
        <v>4678.3798829999996</v>
      </c>
      <c r="E349" s="6">
        <v>4712.5297849999997</v>
      </c>
      <c r="F349" s="6">
        <v>4712.5297849999997</v>
      </c>
      <c r="G349" s="4">
        <v>1805890000</v>
      </c>
      <c r="H349">
        <f t="shared" si="5"/>
        <v>-5.6266159722766799E-3</v>
      </c>
    </row>
    <row r="350" spans="1:8" x14ac:dyDescent="0.3">
      <c r="A350" s="5">
        <v>42510</v>
      </c>
      <c r="B350" s="6">
        <v>4729.4399409999996</v>
      </c>
      <c r="C350" s="6">
        <v>4781.7001950000003</v>
      </c>
      <c r="D350" s="6">
        <v>4729</v>
      </c>
      <c r="E350" s="6">
        <v>4769.5600590000004</v>
      </c>
      <c r="F350" s="6">
        <v>4769.5600590000004</v>
      </c>
      <c r="G350" s="4">
        <v>1970520000</v>
      </c>
      <c r="H350">
        <f t="shared" si="5"/>
        <v>1.2029196650557973E-2</v>
      </c>
    </row>
    <row r="351" spans="1:8" x14ac:dyDescent="0.3">
      <c r="A351" s="5">
        <v>42513</v>
      </c>
      <c r="B351" s="6">
        <v>4771.5698240000002</v>
      </c>
      <c r="C351" s="6">
        <v>4792.6401370000003</v>
      </c>
      <c r="D351" s="6">
        <v>4763.9101559999999</v>
      </c>
      <c r="E351" s="6">
        <v>4765.7797849999997</v>
      </c>
      <c r="F351" s="6">
        <v>4765.7797849999997</v>
      </c>
      <c r="G351" s="4">
        <v>1865110000</v>
      </c>
      <c r="H351">
        <f t="shared" si="5"/>
        <v>-7.9289763341366688E-4</v>
      </c>
    </row>
    <row r="352" spans="1:8" x14ac:dyDescent="0.3">
      <c r="A352" s="5">
        <v>42514</v>
      </c>
      <c r="B352" s="6">
        <v>4792.8500979999999</v>
      </c>
      <c r="C352" s="6">
        <v>4865.9902339999999</v>
      </c>
      <c r="D352" s="6">
        <v>4792.6298829999996</v>
      </c>
      <c r="E352" s="6">
        <v>4861.0600590000004</v>
      </c>
      <c r="F352" s="6">
        <v>4861.0600590000004</v>
      </c>
      <c r="G352" s="4">
        <v>1942280000</v>
      </c>
      <c r="H352">
        <f t="shared" si="5"/>
        <v>1.9795361067981902E-2</v>
      </c>
    </row>
    <row r="353" spans="1:8" x14ac:dyDescent="0.3">
      <c r="A353" s="5">
        <v>42515</v>
      </c>
      <c r="B353" s="6">
        <v>4877.1801759999998</v>
      </c>
      <c r="C353" s="6">
        <v>4905.4501950000003</v>
      </c>
      <c r="D353" s="6">
        <v>4872.419922</v>
      </c>
      <c r="E353" s="6">
        <v>4894.8901370000003</v>
      </c>
      <c r="F353" s="6">
        <v>4894.8901370000003</v>
      </c>
      <c r="G353" s="4">
        <v>1784420000</v>
      </c>
      <c r="H353">
        <f t="shared" si="5"/>
        <v>6.935298544550661E-3</v>
      </c>
    </row>
    <row r="354" spans="1:8" x14ac:dyDescent="0.3">
      <c r="A354" s="5">
        <v>42516</v>
      </c>
      <c r="B354" s="6">
        <v>4897.7797849999997</v>
      </c>
      <c r="C354" s="6">
        <v>4909.3798829999996</v>
      </c>
      <c r="D354" s="6">
        <v>4887.2700199999999</v>
      </c>
      <c r="E354" s="6">
        <v>4901.7700199999999</v>
      </c>
      <c r="F354" s="6">
        <v>4901.7700199999999</v>
      </c>
      <c r="G354" s="4">
        <v>1606250000</v>
      </c>
      <c r="H354">
        <f t="shared" si="5"/>
        <v>1.404536652441194E-3</v>
      </c>
    </row>
    <row r="355" spans="1:8" x14ac:dyDescent="0.3">
      <c r="A355" s="5">
        <v>42517</v>
      </c>
      <c r="B355" s="6">
        <v>4904.0498049999997</v>
      </c>
      <c r="C355" s="6">
        <v>4933.5</v>
      </c>
      <c r="D355" s="6">
        <v>4902.5</v>
      </c>
      <c r="E355" s="6">
        <v>4933.5</v>
      </c>
      <c r="F355" s="6">
        <v>4933.5</v>
      </c>
      <c r="G355" s="4">
        <v>1505020000</v>
      </c>
      <c r="H355">
        <f t="shared" si="5"/>
        <v>6.4523068544076216E-3</v>
      </c>
    </row>
    <row r="356" spans="1:8" x14ac:dyDescent="0.3">
      <c r="A356" s="5">
        <v>42521</v>
      </c>
      <c r="B356" s="6">
        <v>4938.4799800000001</v>
      </c>
      <c r="C356" s="6">
        <v>4951.4501950000003</v>
      </c>
      <c r="D356" s="6">
        <v>4923.0297849999997</v>
      </c>
      <c r="E356" s="6">
        <v>4948.0498049999997</v>
      </c>
      <c r="F356" s="6">
        <v>4948.0498049999997</v>
      </c>
      <c r="G356" s="4">
        <v>2285350000</v>
      </c>
      <c r="H356">
        <f t="shared" si="5"/>
        <v>2.9448448476026711E-3</v>
      </c>
    </row>
    <row r="357" spans="1:8" x14ac:dyDescent="0.3">
      <c r="A357" s="5">
        <v>42522</v>
      </c>
      <c r="B357" s="6">
        <v>4928.9702150000003</v>
      </c>
      <c r="C357" s="6">
        <v>4958.9799800000001</v>
      </c>
      <c r="D357" s="6">
        <v>4923.2001950000003</v>
      </c>
      <c r="E357" s="6">
        <v>4952.25</v>
      </c>
      <c r="F357" s="6">
        <v>4952.25</v>
      </c>
      <c r="G357" s="4">
        <v>1797090000</v>
      </c>
      <c r="H357">
        <f t="shared" si="5"/>
        <v>8.4849859796644485E-4</v>
      </c>
    </row>
    <row r="358" spans="1:8" x14ac:dyDescent="0.3">
      <c r="A358" s="5">
        <v>42523</v>
      </c>
      <c r="B358" s="6">
        <v>4941.25</v>
      </c>
      <c r="C358" s="6">
        <v>4971.3598629999997</v>
      </c>
      <c r="D358" s="6">
        <v>4924.2299800000001</v>
      </c>
      <c r="E358" s="6">
        <v>4971.3598629999997</v>
      </c>
      <c r="F358" s="6">
        <v>4971.3598629999997</v>
      </c>
      <c r="G358" s="4">
        <v>1729050000</v>
      </c>
      <c r="H358">
        <f t="shared" si="5"/>
        <v>3.851398208036109E-3</v>
      </c>
    </row>
    <row r="359" spans="1:8" x14ac:dyDescent="0.3">
      <c r="A359" s="5">
        <v>42524</v>
      </c>
      <c r="B359" s="6">
        <v>4958.1000979999999</v>
      </c>
      <c r="C359" s="6">
        <v>4958.6499020000001</v>
      </c>
      <c r="D359" s="6">
        <v>4909.2099609999996</v>
      </c>
      <c r="E359" s="6">
        <v>4942.5200199999999</v>
      </c>
      <c r="F359" s="6">
        <v>4942.5200199999999</v>
      </c>
      <c r="G359" s="4">
        <v>1697840000</v>
      </c>
      <c r="H359">
        <f t="shared" si="5"/>
        <v>-5.818090332568829E-3</v>
      </c>
    </row>
    <row r="360" spans="1:8" x14ac:dyDescent="0.3">
      <c r="A360" s="5">
        <v>42527</v>
      </c>
      <c r="B360" s="6">
        <v>4950.4599609999996</v>
      </c>
      <c r="C360" s="6">
        <v>4980.1401370000003</v>
      </c>
      <c r="D360" s="6">
        <v>4944.8701170000004</v>
      </c>
      <c r="E360" s="6">
        <v>4968.7099609999996</v>
      </c>
      <c r="F360" s="6">
        <v>4968.7099609999996</v>
      </c>
      <c r="G360" s="4">
        <v>1663840000</v>
      </c>
      <c r="H360">
        <f t="shared" si="5"/>
        <v>5.2849145883950531E-3</v>
      </c>
    </row>
    <row r="361" spans="1:8" x14ac:dyDescent="0.3">
      <c r="A361" s="5">
        <v>42528</v>
      </c>
      <c r="B361" s="6">
        <v>4972.1298829999996</v>
      </c>
      <c r="C361" s="6">
        <v>4979.3798829999996</v>
      </c>
      <c r="D361" s="6">
        <v>4960.2797849999997</v>
      </c>
      <c r="E361" s="6">
        <v>4961.75</v>
      </c>
      <c r="F361" s="6">
        <v>4961.75</v>
      </c>
      <c r="G361" s="4">
        <v>1747760000</v>
      </c>
      <c r="H361">
        <f t="shared" si="5"/>
        <v>-1.4017401342847659E-3</v>
      </c>
    </row>
    <row r="362" spans="1:8" x14ac:dyDescent="0.3">
      <c r="A362" s="5">
        <v>42529</v>
      </c>
      <c r="B362" s="6">
        <v>4970.0097660000001</v>
      </c>
      <c r="C362" s="6">
        <v>4979.6601559999999</v>
      </c>
      <c r="D362" s="6">
        <v>4956.7900390000004</v>
      </c>
      <c r="E362" s="6">
        <v>4974.6401370000003</v>
      </c>
      <c r="F362" s="6">
        <v>4974.6401370000003</v>
      </c>
      <c r="G362" s="4">
        <v>1692640000</v>
      </c>
      <c r="H362">
        <f t="shared" si="5"/>
        <v>2.5945326327188084E-3</v>
      </c>
    </row>
    <row r="363" spans="1:8" x14ac:dyDescent="0.3">
      <c r="A363" s="5">
        <v>42530</v>
      </c>
      <c r="B363" s="6">
        <v>4954.1499020000001</v>
      </c>
      <c r="C363" s="6">
        <v>4965.4902339999999</v>
      </c>
      <c r="D363" s="6">
        <v>4940.5498049999997</v>
      </c>
      <c r="E363" s="6">
        <v>4958.6201170000004</v>
      </c>
      <c r="F363" s="6">
        <v>4958.6201170000004</v>
      </c>
      <c r="G363" s="4">
        <v>1632340000</v>
      </c>
      <c r="H363">
        <f t="shared" si="5"/>
        <v>-3.225533909271344E-3</v>
      </c>
    </row>
    <row r="364" spans="1:8" x14ac:dyDescent="0.3">
      <c r="A364" s="5">
        <v>42531</v>
      </c>
      <c r="B364" s="6">
        <v>4915.1499020000001</v>
      </c>
      <c r="C364" s="6">
        <v>4917.919922</v>
      </c>
      <c r="D364" s="6">
        <v>4880.6098629999997</v>
      </c>
      <c r="E364" s="6">
        <v>4894.5498049999997</v>
      </c>
      <c r="F364" s="6">
        <v>4894.5498049999997</v>
      </c>
      <c r="G364" s="4">
        <v>1822200000</v>
      </c>
      <c r="H364">
        <f t="shared" si="5"/>
        <v>-1.3005198438676114E-2</v>
      </c>
    </row>
    <row r="365" spans="1:8" x14ac:dyDescent="0.3">
      <c r="A365" s="5">
        <v>42534</v>
      </c>
      <c r="B365" s="6">
        <v>4868.5097660000001</v>
      </c>
      <c r="C365" s="6">
        <v>4894.8500979999999</v>
      </c>
      <c r="D365" s="6">
        <v>4844.9399409999996</v>
      </c>
      <c r="E365" s="6">
        <v>4848.4399409999996</v>
      </c>
      <c r="F365" s="6">
        <v>4848.4399409999996</v>
      </c>
      <c r="G365" s="4">
        <v>1888300000</v>
      </c>
      <c r="H365">
        <f t="shared" si="5"/>
        <v>-9.4653098192999802E-3</v>
      </c>
    </row>
    <row r="366" spans="1:8" x14ac:dyDescent="0.3">
      <c r="A366" s="5">
        <v>42535</v>
      </c>
      <c r="B366" s="6">
        <v>4836.669922</v>
      </c>
      <c r="C366" s="6">
        <v>4863.0097660000001</v>
      </c>
      <c r="D366" s="6">
        <v>4811.9301759999998</v>
      </c>
      <c r="E366" s="6">
        <v>4843.5498049999997</v>
      </c>
      <c r="F366" s="6">
        <v>4843.5498049999997</v>
      </c>
      <c r="G366" s="4">
        <v>1919710000</v>
      </c>
      <c r="H366">
        <f t="shared" si="5"/>
        <v>-1.0091088709596561E-3</v>
      </c>
    </row>
    <row r="367" spans="1:8" x14ac:dyDescent="0.3">
      <c r="A367" s="5">
        <v>42536</v>
      </c>
      <c r="B367" s="6">
        <v>4855.080078</v>
      </c>
      <c r="C367" s="6">
        <v>4868.1601559999999</v>
      </c>
      <c r="D367" s="6">
        <v>4830.330078</v>
      </c>
      <c r="E367" s="6">
        <v>4834.9301759999998</v>
      </c>
      <c r="F367" s="6">
        <v>4834.9301759999998</v>
      </c>
      <c r="G367" s="4">
        <v>1802200000</v>
      </c>
      <c r="H367">
        <f t="shared" si="5"/>
        <v>-1.7811952488093266E-3</v>
      </c>
    </row>
    <row r="368" spans="1:8" x14ac:dyDescent="0.3">
      <c r="A368" s="5">
        <v>42537</v>
      </c>
      <c r="B368" s="6">
        <v>4809.6899409999996</v>
      </c>
      <c r="C368" s="6">
        <v>4847.8598629999997</v>
      </c>
      <c r="D368" s="6">
        <v>4778.7797849999997</v>
      </c>
      <c r="E368" s="6">
        <v>4844.919922</v>
      </c>
      <c r="F368" s="6">
        <v>4844.919922</v>
      </c>
      <c r="G368" s="4">
        <v>1851770000</v>
      </c>
      <c r="H368">
        <f t="shared" si="5"/>
        <v>2.0640298032313393E-3</v>
      </c>
    </row>
    <row r="369" spans="1:8" x14ac:dyDescent="0.3">
      <c r="A369" s="5">
        <v>42538</v>
      </c>
      <c r="B369" s="6">
        <v>4835.0200199999999</v>
      </c>
      <c r="C369" s="6">
        <v>4835.0200199999999</v>
      </c>
      <c r="D369" s="6">
        <v>4792.3398440000001</v>
      </c>
      <c r="E369" s="6">
        <v>4800.3398440000001</v>
      </c>
      <c r="F369" s="6">
        <v>4800.3398440000001</v>
      </c>
      <c r="G369" s="4">
        <v>2638220000</v>
      </c>
      <c r="H369">
        <f t="shared" si="5"/>
        <v>-9.2440009982470844E-3</v>
      </c>
    </row>
    <row r="370" spans="1:8" x14ac:dyDescent="0.3">
      <c r="A370" s="5">
        <v>42541</v>
      </c>
      <c r="B370" s="6">
        <v>4856.6899409999996</v>
      </c>
      <c r="C370" s="6">
        <v>4882.1499020000001</v>
      </c>
      <c r="D370" s="6">
        <v>4834.5097660000001</v>
      </c>
      <c r="E370" s="6">
        <v>4837.2099609999996</v>
      </c>
      <c r="F370" s="6">
        <v>4837.2099609999996</v>
      </c>
      <c r="G370" s="4">
        <v>1779560000</v>
      </c>
      <c r="H370">
        <f t="shared" si="5"/>
        <v>7.6513839350975769E-3</v>
      </c>
    </row>
    <row r="371" spans="1:8" x14ac:dyDescent="0.3">
      <c r="A371" s="5">
        <v>42542</v>
      </c>
      <c r="B371" s="6">
        <v>4845.080078</v>
      </c>
      <c r="C371" s="6">
        <v>4852.1899409999996</v>
      </c>
      <c r="D371" s="6">
        <v>4826.5898440000001</v>
      </c>
      <c r="E371" s="6">
        <v>4843.7597660000001</v>
      </c>
      <c r="F371" s="6">
        <v>4843.7597660000001</v>
      </c>
      <c r="G371" s="4">
        <v>1698080000</v>
      </c>
      <c r="H371">
        <f t="shared" si="5"/>
        <v>1.3531301479237142E-3</v>
      </c>
    </row>
    <row r="372" spans="1:8" x14ac:dyDescent="0.3">
      <c r="A372" s="5">
        <v>42543</v>
      </c>
      <c r="B372" s="6">
        <v>4846.6801759999998</v>
      </c>
      <c r="C372" s="6">
        <v>4875.9301759999998</v>
      </c>
      <c r="D372" s="6">
        <v>4830</v>
      </c>
      <c r="E372" s="6">
        <v>4833.3198240000002</v>
      </c>
      <c r="F372" s="6">
        <v>4833.3198240000002</v>
      </c>
      <c r="G372" s="4">
        <v>1682220000</v>
      </c>
      <c r="H372">
        <f t="shared" si="5"/>
        <v>-2.1576646039089919E-3</v>
      </c>
    </row>
    <row r="373" spans="1:8" x14ac:dyDescent="0.3">
      <c r="A373" s="5">
        <v>42544</v>
      </c>
      <c r="B373" s="6">
        <v>4872.1899409999996</v>
      </c>
      <c r="C373" s="6">
        <v>4910.0400390000004</v>
      </c>
      <c r="D373" s="6">
        <v>4859.3999020000001</v>
      </c>
      <c r="E373" s="6">
        <v>4910.0400390000004</v>
      </c>
      <c r="F373" s="6">
        <v>4910.0400390000004</v>
      </c>
      <c r="G373" s="4">
        <v>1738570000</v>
      </c>
      <c r="H373">
        <f t="shared" si="5"/>
        <v>1.5748530635635499E-2</v>
      </c>
    </row>
    <row r="374" spans="1:8" x14ac:dyDescent="0.3">
      <c r="A374" s="5">
        <v>42545</v>
      </c>
      <c r="B374" s="6">
        <v>4715.7900390000004</v>
      </c>
      <c r="C374" s="6">
        <v>4798.2202150000003</v>
      </c>
      <c r="D374" s="6">
        <v>4698.419922</v>
      </c>
      <c r="E374" s="6">
        <v>4707.9799800000001</v>
      </c>
      <c r="F374" s="6">
        <v>4707.9799800000001</v>
      </c>
      <c r="G374" s="4">
        <v>4411040000</v>
      </c>
      <c r="H374">
        <f t="shared" si="5"/>
        <v>-4.2023159303125161E-2</v>
      </c>
    </row>
    <row r="375" spans="1:8" x14ac:dyDescent="0.3">
      <c r="A375" s="5">
        <v>42548</v>
      </c>
      <c r="B375" s="6">
        <v>4664.4301759999998</v>
      </c>
      <c r="C375" s="6">
        <v>4665.0400390000004</v>
      </c>
      <c r="D375" s="6">
        <v>4574.25</v>
      </c>
      <c r="E375" s="6">
        <v>4594.4399409999996</v>
      </c>
      <c r="F375" s="6">
        <v>4594.4399409999996</v>
      </c>
      <c r="G375" s="4">
        <v>2659650000</v>
      </c>
      <c r="H375">
        <f t="shared" si="5"/>
        <v>-2.4412073113010392E-2</v>
      </c>
    </row>
    <row r="376" spans="1:8" x14ac:dyDescent="0.3">
      <c r="A376" s="5">
        <v>42549</v>
      </c>
      <c r="B376" s="6">
        <v>4643.9301759999998</v>
      </c>
      <c r="C376" s="6">
        <v>4692.9799800000001</v>
      </c>
      <c r="D376" s="6">
        <v>4643.9301759999998</v>
      </c>
      <c r="E376" s="6">
        <v>4691.8701170000004</v>
      </c>
      <c r="F376" s="6">
        <v>4691.8701170000004</v>
      </c>
      <c r="G376" s="4">
        <v>2074090000</v>
      </c>
      <c r="H376">
        <f t="shared" si="5"/>
        <v>2.0984384669744512E-2</v>
      </c>
    </row>
    <row r="377" spans="1:8" x14ac:dyDescent="0.3">
      <c r="A377" s="5">
        <v>42550</v>
      </c>
      <c r="B377" s="6">
        <v>4732.9301759999998</v>
      </c>
      <c r="C377" s="6">
        <v>4787.5898440000001</v>
      </c>
      <c r="D377" s="6">
        <v>4732.3398440000001</v>
      </c>
      <c r="E377" s="6">
        <v>4779.25</v>
      </c>
      <c r="F377" s="6">
        <v>4779.25</v>
      </c>
      <c r="G377" s="4">
        <v>2116550000</v>
      </c>
      <c r="H377">
        <f t="shared" si="5"/>
        <v>1.8452381817716083E-2</v>
      </c>
    </row>
    <row r="378" spans="1:8" x14ac:dyDescent="0.3">
      <c r="A378" s="5">
        <v>42551</v>
      </c>
      <c r="B378" s="6">
        <v>4793.75</v>
      </c>
      <c r="C378" s="6">
        <v>4843.1098629999997</v>
      </c>
      <c r="D378" s="6">
        <v>4774.5200199999999</v>
      </c>
      <c r="E378" s="6">
        <v>4842.669922</v>
      </c>
      <c r="F378" s="6">
        <v>4842.669922</v>
      </c>
      <c r="G378" s="4">
        <v>2171180000</v>
      </c>
      <c r="H378">
        <f t="shared" si="5"/>
        <v>1.3182574982774167E-2</v>
      </c>
    </row>
    <row r="379" spans="1:8" x14ac:dyDescent="0.3">
      <c r="A379" s="5">
        <v>42552</v>
      </c>
      <c r="B379" s="6">
        <v>4837.1801759999998</v>
      </c>
      <c r="C379" s="6">
        <v>4880.169922</v>
      </c>
      <c r="D379" s="6">
        <v>4837.169922</v>
      </c>
      <c r="E379" s="6">
        <v>4862.5698240000002</v>
      </c>
      <c r="F379" s="6">
        <v>4862.5698240000002</v>
      </c>
      <c r="G379" s="4">
        <v>1745130000</v>
      </c>
      <c r="H379">
        <f t="shared" si="5"/>
        <v>4.1008631232171697E-3</v>
      </c>
    </row>
    <row r="380" spans="1:8" x14ac:dyDescent="0.3">
      <c r="A380" s="5">
        <v>42556</v>
      </c>
      <c r="B380" s="6">
        <v>4837.0600590000004</v>
      </c>
      <c r="C380" s="6">
        <v>4839.1298829999996</v>
      </c>
      <c r="D380" s="6">
        <v>4797.2900390000004</v>
      </c>
      <c r="E380" s="6">
        <v>4822.8999020000001</v>
      </c>
      <c r="F380" s="6">
        <v>4822.8999020000001</v>
      </c>
      <c r="G380" s="4">
        <v>1690340000</v>
      </c>
      <c r="H380">
        <f t="shared" si="5"/>
        <v>-8.1916819638221377E-3</v>
      </c>
    </row>
    <row r="381" spans="1:8" x14ac:dyDescent="0.3">
      <c r="A381" s="5">
        <v>42557</v>
      </c>
      <c r="B381" s="6">
        <v>4799.3198240000002</v>
      </c>
      <c r="C381" s="6">
        <v>4861.0498049999997</v>
      </c>
      <c r="D381" s="6">
        <v>4786.0097660000001</v>
      </c>
      <c r="E381" s="6">
        <v>4859.1601559999999</v>
      </c>
      <c r="F381" s="6">
        <v>4859.1601559999999</v>
      </c>
      <c r="G381" s="4">
        <v>1876090000</v>
      </c>
      <c r="H381">
        <f t="shared" si="5"/>
        <v>7.4902290029146574E-3</v>
      </c>
    </row>
    <row r="382" spans="1:8" x14ac:dyDescent="0.3">
      <c r="A382" s="5">
        <v>42558</v>
      </c>
      <c r="B382" s="6">
        <v>4867.4702150000003</v>
      </c>
      <c r="C382" s="6">
        <v>4889.0097660000001</v>
      </c>
      <c r="D382" s="6">
        <v>4853.6801759999998</v>
      </c>
      <c r="E382" s="6">
        <v>4876.8100590000004</v>
      </c>
      <c r="F382" s="6">
        <v>4876.8100590000004</v>
      </c>
      <c r="G382" s="4">
        <v>1672770000</v>
      </c>
      <c r="H382">
        <f t="shared" si="5"/>
        <v>3.6257141189651107E-3</v>
      </c>
    </row>
    <row r="383" spans="1:8" x14ac:dyDescent="0.3">
      <c r="A383" s="5">
        <v>42559</v>
      </c>
      <c r="B383" s="6">
        <v>4906.6601559999999</v>
      </c>
      <c r="C383" s="6">
        <v>4959</v>
      </c>
      <c r="D383" s="6">
        <v>4901.2700199999999</v>
      </c>
      <c r="E383" s="6">
        <v>4956.7597660000001</v>
      </c>
      <c r="F383" s="6">
        <v>4956.7597660000001</v>
      </c>
      <c r="G383" s="4">
        <v>1947260000</v>
      </c>
      <c r="H383">
        <f t="shared" si="5"/>
        <v>1.6260924586152675E-2</v>
      </c>
    </row>
    <row r="384" spans="1:8" x14ac:dyDescent="0.3">
      <c r="A384" s="5">
        <v>42562</v>
      </c>
      <c r="B384" s="6">
        <v>4976.5400390000004</v>
      </c>
      <c r="C384" s="6">
        <v>5002.5</v>
      </c>
      <c r="D384" s="6">
        <v>4976.5400390000004</v>
      </c>
      <c r="E384" s="6">
        <v>4988.6401370000003</v>
      </c>
      <c r="F384" s="6">
        <v>4988.6401370000003</v>
      </c>
      <c r="G384" s="4">
        <v>1718450000</v>
      </c>
      <c r="H384">
        <f t="shared" si="5"/>
        <v>6.4111007112860321E-3</v>
      </c>
    </row>
    <row r="385" spans="1:8" x14ac:dyDescent="0.3">
      <c r="A385" s="5">
        <v>42563</v>
      </c>
      <c r="B385" s="6">
        <v>5017.9902339999999</v>
      </c>
      <c r="C385" s="6">
        <v>5032.1000979999999</v>
      </c>
      <c r="D385" s="6">
        <v>5009.6801759999998</v>
      </c>
      <c r="E385" s="6">
        <v>5022.8198240000002</v>
      </c>
      <c r="F385" s="6">
        <v>5022.8198240000002</v>
      </c>
      <c r="G385" s="4">
        <v>1866280000</v>
      </c>
      <c r="H385">
        <f t="shared" si="5"/>
        <v>6.8281389389850808E-3</v>
      </c>
    </row>
    <row r="386" spans="1:8" x14ac:dyDescent="0.3">
      <c r="A386" s="5">
        <v>42564</v>
      </c>
      <c r="B386" s="6">
        <v>5036.3198240000002</v>
      </c>
      <c r="C386" s="6">
        <v>5036.3798829999996</v>
      </c>
      <c r="D386" s="6">
        <v>5002.8198240000002</v>
      </c>
      <c r="E386" s="6">
        <v>5005.7299800000001</v>
      </c>
      <c r="F386" s="6">
        <v>5005.7299800000001</v>
      </c>
      <c r="G386" s="4">
        <v>1650820000</v>
      </c>
      <c r="H386">
        <f t="shared" si="5"/>
        <v>-3.4082416455283281E-3</v>
      </c>
    </row>
    <row r="387" spans="1:8" x14ac:dyDescent="0.3">
      <c r="A387" s="5">
        <v>42565</v>
      </c>
      <c r="B387" s="6">
        <v>5041.9501950000003</v>
      </c>
      <c r="C387" s="6">
        <v>5045.1801759999998</v>
      </c>
      <c r="D387" s="6">
        <v>5025.1499020000001</v>
      </c>
      <c r="E387" s="6">
        <v>5034.0600590000004</v>
      </c>
      <c r="F387" s="6">
        <v>5034.0600590000004</v>
      </c>
      <c r="G387" s="4">
        <v>1641170000</v>
      </c>
      <c r="H387">
        <f t="shared" si="5"/>
        <v>5.6435750314535122E-3</v>
      </c>
    </row>
    <row r="388" spans="1:8" x14ac:dyDescent="0.3">
      <c r="A388" s="5">
        <v>42566</v>
      </c>
      <c r="B388" s="6">
        <v>5041.1899409999996</v>
      </c>
      <c r="C388" s="6">
        <v>5044.8100590000004</v>
      </c>
      <c r="D388" s="6">
        <v>5018.5200199999999</v>
      </c>
      <c r="E388" s="6">
        <v>5029.5898440000001</v>
      </c>
      <c r="F388" s="6">
        <v>5029.5898440000001</v>
      </c>
      <c r="G388" s="4">
        <v>1610300000</v>
      </c>
      <c r="H388">
        <f t="shared" ref="H388:H451" si="6">LN(E388/E387)</f>
        <v>-8.8838847477622153E-4</v>
      </c>
    </row>
    <row r="389" spans="1:8" x14ac:dyDescent="0.3">
      <c r="A389" s="5">
        <v>42569</v>
      </c>
      <c r="B389" s="6">
        <v>5034.9902339999999</v>
      </c>
      <c r="C389" s="6">
        <v>5063.5297849999997</v>
      </c>
      <c r="D389" s="6">
        <v>5030.1298829999996</v>
      </c>
      <c r="E389" s="6">
        <v>5055.7797849999997</v>
      </c>
      <c r="F389" s="6">
        <v>5055.7797849999997</v>
      </c>
      <c r="G389" s="4">
        <v>1585570000</v>
      </c>
      <c r="H389">
        <f t="shared" si="6"/>
        <v>5.1936618754274567E-3</v>
      </c>
    </row>
    <row r="390" spans="1:8" x14ac:dyDescent="0.3">
      <c r="A390" s="5">
        <v>42570</v>
      </c>
      <c r="B390" s="6">
        <v>5038.2202150000003</v>
      </c>
      <c r="C390" s="6">
        <v>5052.2402339999999</v>
      </c>
      <c r="D390" s="6">
        <v>5028.2402339999999</v>
      </c>
      <c r="E390" s="6">
        <v>5036.3701170000004</v>
      </c>
      <c r="F390" s="6">
        <v>5036.3701170000004</v>
      </c>
      <c r="G390" s="4">
        <v>1694740000</v>
      </c>
      <c r="H390">
        <f t="shared" si="6"/>
        <v>-3.8464929910468487E-3</v>
      </c>
    </row>
    <row r="391" spans="1:8" x14ac:dyDescent="0.3">
      <c r="A391" s="5">
        <v>42571</v>
      </c>
      <c r="B391" s="6">
        <v>5061.6000979999999</v>
      </c>
      <c r="C391" s="6">
        <v>5098.25</v>
      </c>
      <c r="D391" s="6">
        <v>5053.919922</v>
      </c>
      <c r="E391" s="6">
        <v>5089.9301759999998</v>
      </c>
      <c r="F391" s="6">
        <v>5089.9301759999998</v>
      </c>
      <c r="G391" s="4">
        <v>1877330000</v>
      </c>
      <c r="H391">
        <f t="shared" si="6"/>
        <v>1.0578504867155048E-2</v>
      </c>
    </row>
    <row r="392" spans="1:8" x14ac:dyDescent="0.3">
      <c r="A392" s="5">
        <v>42572</v>
      </c>
      <c r="B392" s="6">
        <v>5093.9702150000003</v>
      </c>
      <c r="C392" s="6">
        <v>5102.7797849999997</v>
      </c>
      <c r="D392" s="6">
        <v>5061.1098629999997</v>
      </c>
      <c r="E392" s="6">
        <v>5073.8999020000001</v>
      </c>
      <c r="F392" s="6">
        <v>5073.8999020000001</v>
      </c>
      <c r="G392" s="4">
        <v>1880310000</v>
      </c>
      <c r="H392">
        <f t="shared" si="6"/>
        <v>-3.1543792387103099E-3</v>
      </c>
    </row>
    <row r="393" spans="1:8" x14ac:dyDescent="0.3">
      <c r="A393" s="5">
        <v>42573</v>
      </c>
      <c r="B393" s="6">
        <v>5078.1201170000004</v>
      </c>
      <c r="C393" s="6">
        <v>5103.5200199999999</v>
      </c>
      <c r="D393" s="6">
        <v>5064.1098629999997</v>
      </c>
      <c r="E393" s="6">
        <v>5100.1601559999999</v>
      </c>
      <c r="F393" s="6">
        <v>5100.1601559999999</v>
      </c>
      <c r="G393" s="4">
        <v>1639000000</v>
      </c>
      <c r="H393">
        <f t="shared" si="6"/>
        <v>5.1622090230292244E-3</v>
      </c>
    </row>
    <row r="394" spans="1:8" x14ac:dyDescent="0.3">
      <c r="A394" s="5">
        <v>42576</v>
      </c>
      <c r="B394" s="6">
        <v>5096.9902339999999</v>
      </c>
      <c r="C394" s="6">
        <v>5100.7202150000003</v>
      </c>
      <c r="D394" s="6">
        <v>5082.6601559999999</v>
      </c>
      <c r="E394" s="6">
        <v>5097.6298829999996</v>
      </c>
      <c r="F394" s="6">
        <v>5097.6298829999996</v>
      </c>
      <c r="G394" s="4">
        <v>1770620000</v>
      </c>
      <c r="H394">
        <f t="shared" si="6"/>
        <v>-4.9623948762379734E-4</v>
      </c>
    </row>
    <row r="395" spans="1:8" x14ac:dyDescent="0.3">
      <c r="A395" s="5">
        <v>42577</v>
      </c>
      <c r="B395" s="6">
        <v>5095.6098629999997</v>
      </c>
      <c r="C395" s="6">
        <v>5122.2998049999997</v>
      </c>
      <c r="D395" s="6">
        <v>5084.1801759999998</v>
      </c>
      <c r="E395" s="6">
        <v>5110.0498049999997</v>
      </c>
      <c r="F395" s="6">
        <v>5110.0498049999997</v>
      </c>
      <c r="G395" s="4">
        <v>2038060000</v>
      </c>
      <c r="H395">
        <f t="shared" si="6"/>
        <v>2.4334478566149236E-3</v>
      </c>
    </row>
    <row r="396" spans="1:8" x14ac:dyDescent="0.3">
      <c r="A396" s="5">
        <v>42578</v>
      </c>
      <c r="B396" s="6">
        <v>5143.8398440000001</v>
      </c>
      <c r="C396" s="6">
        <v>5151.0600590000004</v>
      </c>
      <c r="D396" s="6">
        <v>5120.6601559999999</v>
      </c>
      <c r="E396" s="6">
        <v>5139.8100590000004</v>
      </c>
      <c r="F396" s="6">
        <v>5139.8100590000004</v>
      </c>
      <c r="G396" s="4">
        <v>2122250000</v>
      </c>
      <c r="H396">
        <f t="shared" si="6"/>
        <v>5.8069745388728286E-3</v>
      </c>
    </row>
    <row r="397" spans="1:8" x14ac:dyDescent="0.3">
      <c r="A397" s="5">
        <v>42579</v>
      </c>
      <c r="B397" s="6">
        <v>5144.8198240000002</v>
      </c>
      <c r="C397" s="6">
        <v>5160.1601559999999</v>
      </c>
      <c r="D397" s="6">
        <v>5130.75</v>
      </c>
      <c r="E397" s="6">
        <v>5154.9799800000001</v>
      </c>
      <c r="F397" s="6">
        <v>5154.9799800000001</v>
      </c>
      <c r="G397" s="4">
        <v>1950910000</v>
      </c>
      <c r="H397">
        <f t="shared" si="6"/>
        <v>2.9471085709038927E-3</v>
      </c>
    </row>
    <row r="398" spans="1:8" x14ac:dyDescent="0.3">
      <c r="A398" s="5">
        <v>42580</v>
      </c>
      <c r="B398" s="6">
        <v>5162.1499020000001</v>
      </c>
      <c r="C398" s="6">
        <v>5175.8100590000004</v>
      </c>
      <c r="D398" s="6">
        <v>5140.0498049999997</v>
      </c>
      <c r="E398" s="6">
        <v>5162.1298829999996</v>
      </c>
      <c r="F398" s="6">
        <v>5162.1298829999996</v>
      </c>
      <c r="G398" s="4">
        <v>2072640000</v>
      </c>
      <c r="H398">
        <f t="shared" si="6"/>
        <v>1.3860284982068175E-3</v>
      </c>
    </row>
    <row r="399" spans="1:8" x14ac:dyDescent="0.3">
      <c r="A399" s="5">
        <v>42583</v>
      </c>
      <c r="B399" s="6">
        <v>5167.419922</v>
      </c>
      <c r="C399" s="6">
        <v>5199.1298829999996</v>
      </c>
      <c r="D399" s="6">
        <v>5158.9301759999998</v>
      </c>
      <c r="E399" s="6">
        <v>5184.2001950000003</v>
      </c>
      <c r="F399" s="6">
        <v>5184.2001950000003</v>
      </c>
      <c r="G399" s="4">
        <v>1866590000</v>
      </c>
      <c r="H399">
        <f t="shared" si="6"/>
        <v>4.2663138155360283E-3</v>
      </c>
    </row>
    <row r="400" spans="1:8" x14ac:dyDescent="0.3">
      <c r="A400" s="5">
        <v>42584</v>
      </c>
      <c r="B400" s="6">
        <v>5177.5297849999997</v>
      </c>
      <c r="C400" s="6">
        <v>5181.0200199999999</v>
      </c>
      <c r="D400" s="6">
        <v>5109.7998049999997</v>
      </c>
      <c r="E400" s="6">
        <v>5137.7299800000001</v>
      </c>
      <c r="F400" s="6">
        <v>5137.7299800000001</v>
      </c>
      <c r="G400" s="4">
        <v>2142010000</v>
      </c>
      <c r="H400">
        <f t="shared" si="6"/>
        <v>-9.0042323830418908E-3</v>
      </c>
    </row>
    <row r="401" spans="1:8" x14ac:dyDescent="0.3">
      <c r="A401" s="5">
        <v>42585</v>
      </c>
      <c r="B401" s="6">
        <v>5133.2402339999999</v>
      </c>
      <c r="C401" s="6">
        <v>5159.7402339999999</v>
      </c>
      <c r="D401" s="6">
        <v>5128.4399409999996</v>
      </c>
      <c r="E401" s="6">
        <v>5159.7402339999999</v>
      </c>
      <c r="F401" s="6">
        <v>5159.7402339999999</v>
      </c>
      <c r="G401" s="4">
        <v>1909470000</v>
      </c>
      <c r="H401">
        <f t="shared" si="6"/>
        <v>4.2748921942601962E-3</v>
      </c>
    </row>
    <row r="402" spans="1:8" x14ac:dyDescent="0.3">
      <c r="A402" s="5">
        <v>42586</v>
      </c>
      <c r="B402" s="6">
        <v>5158.0200199999999</v>
      </c>
      <c r="C402" s="6">
        <v>5174</v>
      </c>
      <c r="D402" s="6">
        <v>5145.3901370000003</v>
      </c>
      <c r="E402" s="6">
        <v>5166.25</v>
      </c>
      <c r="F402" s="6">
        <v>5166.25</v>
      </c>
      <c r="G402" s="4">
        <v>1930000000</v>
      </c>
      <c r="H402">
        <f t="shared" si="6"/>
        <v>1.2608508656091406E-3</v>
      </c>
    </row>
    <row r="403" spans="1:8" x14ac:dyDescent="0.3">
      <c r="A403" s="5">
        <v>42587</v>
      </c>
      <c r="B403" s="6">
        <v>5190.7099609999996</v>
      </c>
      <c r="C403" s="6">
        <v>5227.2299800000001</v>
      </c>
      <c r="D403" s="6">
        <v>5186.25</v>
      </c>
      <c r="E403" s="6">
        <v>5221.1201170000004</v>
      </c>
      <c r="F403" s="6">
        <v>5221.1201170000004</v>
      </c>
      <c r="G403" s="4">
        <v>2017720000</v>
      </c>
      <c r="H403">
        <f t="shared" si="6"/>
        <v>1.0564873832127073E-2</v>
      </c>
    </row>
    <row r="404" spans="1:8" x14ac:dyDescent="0.3">
      <c r="A404" s="5">
        <v>42590</v>
      </c>
      <c r="B404" s="6">
        <v>5223.5400390000004</v>
      </c>
      <c r="C404" s="6">
        <v>5228.3999020000001</v>
      </c>
      <c r="D404" s="6">
        <v>5202.1801759999998</v>
      </c>
      <c r="E404" s="6">
        <v>5213.1401370000003</v>
      </c>
      <c r="F404" s="6">
        <v>5213.1401370000003</v>
      </c>
      <c r="G404" s="4">
        <v>1624450000</v>
      </c>
      <c r="H404">
        <f t="shared" si="6"/>
        <v>-1.5295730337503662E-3</v>
      </c>
    </row>
    <row r="405" spans="1:8" x14ac:dyDescent="0.3">
      <c r="A405" s="5">
        <v>42591</v>
      </c>
      <c r="B405" s="6">
        <v>5216.2099609999996</v>
      </c>
      <c r="C405" s="6">
        <v>5238.5400390000004</v>
      </c>
      <c r="D405" s="6">
        <v>5214.9501950000003</v>
      </c>
      <c r="E405" s="6">
        <v>5225.4799800000001</v>
      </c>
      <c r="F405" s="6">
        <v>5225.4799800000001</v>
      </c>
      <c r="G405" s="4">
        <v>1664320000</v>
      </c>
      <c r="H405">
        <f t="shared" si="6"/>
        <v>2.3642681905762905E-3</v>
      </c>
    </row>
    <row r="406" spans="1:8" x14ac:dyDescent="0.3">
      <c r="A406" s="5">
        <v>42592</v>
      </c>
      <c r="B406" s="6">
        <v>5227.9501950000003</v>
      </c>
      <c r="C406" s="6">
        <v>5227.9599609999996</v>
      </c>
      <c r="D406" s="6">
        <v>5193.7998049999997</v>
      </c>
      <c r="E406" s="6">
        <v>5204.580078</v>
      </c>
      <c r="F406" s="6">
        <v>5204.580078</v>
      </c>
      <c r="G406" s="4">
        <v>1651240000</v>
      </c>
      <c r="H406">
        <f t="shared" si="6"/>
        <v>-4.0076336774229138E-3</v>
      </c>
    </row>
    <row r="407" spans="1:8" x14ac:dyDescent="0.3">
      <c r="A407" s="5">
        <v>42593</v>
      </c>
      <c r="B407" s="6">
        <v>5222.1499020000001</v>
      </c>
      <c r="C407" s="6">
        <v>5235.2900390000004</v>
      </c>
      <c r="D407" s="6">
        <v>5211.25</v>
      </c>
      <c r="E407" s="6">
        <v>5228.3999020000001</v>
      </c>
      <c r="F407" s="6">
        <v>5228.3999020000001</v>
      </c>
      <c r="G407" s="4">
        <v>1511670000</v>
      </c>
      <c r="H407">
        <f t="shared" si="6"/>
        <v>4.5662630301403599E-3</v>
      </c>
    </row>
    <row r="408" spans="1:8" x14ac:dyDescent="0.3">
      <c r="A408" s="5">
        <v>42594</v>
      </c>
      <c r="B408" s="6">
        <v>5219.6601559999999</v>
      </c>
      <c r="C408" s="6">
        <v>5233.3398440000001</v>
      </c>
      <c r="D408" s="6">
        <v>5215.5498049999997</v>
      </c>
      <c r="E408" s="6">
        <v>5232.8901370000003</v>
      </c>
      <c r="F408" s="6">
        <v>5232.8901370000003</v>
      </c>
      <c r="G408" s="4">
        <v>1501620000</v>
      </c>
      <c r="H408">
        <f t="shared" si="6"/>
        <v>8.5844771706173467E-4</v>
      </c>
    </row>
    <row r="409" spans="1:8" x14ac:dyDescent="0.3">
      <c r="A409" s="5">
        <v>42597</v>
      </c>
      <c r="B409" s="6">
        <v>5242.1801759999998</v>
      </c>
      <c r="C409" s="6">
        <v>5271.3598629999997</v>
      </c>
      <c r="D409" s="6">
        <v>5241.1401370000003</v>
      </c>
      <c r="E409" s="6">
        <v>5262.0200199999999</v>
      </c>
      <c r="F409" s="6">
        <v>5262.0200199999999</v>
      </c>
      <c r="G409" s="4">
        <v>1533170000</v>
      </c>
      <c r="H409">
        <f t="shared" si="6"/>
        <v>5.5512543453462449E-3</v>
      </c>
    </row>
    <row r="410" spans="1:8" x14ac:dyDescent="0.3">
      <c r="A410" s="5">
        <v>42598</v>
      </c>
      <c r="B410" s="6">
        <v>5247.9599609999996</v>
      </c>
      <c r="C410" s="6">
        <v>5248.2597660000001</v>
      </c>
      <c r="D410" s="6">
        <v>5226.7797849999997</v>
      </c>
      <c r="E410" s="6">
        <v>5227.1098629999997</v>
      </c>
      <c r="F410" s="6">
        <v>5227.1098629999997</v>
      </c>
      <c r="G410" s="4">
        <v>1698390000</v>
      </c>
      <c r="H410">
        <f t="shared" si="6"/>
        <v>-6.6564693718059037E-3</v>
      </c>
    </row>
    <row r="411" spans="1:8" x14ac:dyDescent="0.3">
      <c r="A411" s="5">
        <v>42599</v>
      </c>
      <c r="B411" s="6">
        <v>5228.4399409999996</v>
      </c>
      <c r="C411" s="6">
        <v>5230.0898440000001</v>
      </c>
      <c r="D411" s="6">
        <v>5197.2299800000001</v>
      </c>
      <c r="E411" s="6">
        <v>5228.6601559999999</v>
      </c>
      <c r="F411" s="6">
        <v>5228.6601559999999</v>
      </c>
      <c r="G411" s="4">
        <v>1747890000</v>
      </c>
      <c r="H411">
        <f t="shared" si="6"/>
        <v>2.9654305872150967E-4</v>
      </c>
    </row>
    <row r="412" spans="1:8" x14ac:dyDescent="0.3">
      <c r="A412" s="5">
        <v>42600</v>
      </c>
      <c r="B412" s="6">
        <v>5226.4501950000003</v>
      </c>
      <c r="C412" s="6">
        <v>5243.169922</v>
      </c>
      <c r="D412" s="6">
        <v>5221.8398440000001</v>
      </c>
      <c r="E412" s="6">
        <v>5240.1499020000001</v>
      </c>
      <c r="F412" s="6">
        <v>5240.1499020000001</v>
      </c>
      <c r="G412" s="4">
        <v>1659080000</v>
      </c>
      <c r="H412">
        <f t="shared" si="6"/>
        <v>2.1950442408806455E-3</v>
      </c>
    </row>
    <row r="413" spans="1:8" x14ac:dyDescent="0.3">
      <c r="A413" s="5">
        <v>42601</v>
      </c>
      <c r="B413" s="6">
        <v>5229.8701170000004</v>
      </c>
      <c r="C413" s="6">
        <v>5245.8100590000004</v>
      </c>
      <c r="D413" s="6">
        <v>5217.6499020000001</v>
      </c>
      <c r="E413" s="6">
        <v>5238.3798829999996</v>
      </c>
      <c r="F413" s="6">
        <v>5238.3798829999996</v>
      </c>
      <c r="G413" s="4">
        <v>1632740000</v>
      </c>
      <c r="H413">
        <f t="shared" si="6"/>
        <v>-3.3783728312141223E-4</v>
      </c>
    </row>
    <row r="414" spans="1:8" x14ac:dyDescent="0.3">
      <c r="A414" s="5">
        <v>42604</v>
      </c>
      <c r="B414" s="6">
        <v>5231.4599609999996</v>
      </c>
      <c r="C414" s="6">
        <v>5252.1298829999996</v>
      </c>
      <c r="D414" s="6">
        <v>5224.6298829999996</v>
      </c>
      <c r="E414" s="6">
        <v>5244.6000979999999</v>
      </c>
      <c r="F414" s="6">
        <v>5244.6000979999999</v>
      </c>
      <c r="G414" s="4">
        <v>1560210000</v>
      </c>
      <c r="H414">
        <f t="shared" si="6"/>
        <v>1.1867266256881575E-3</v>
      </c>
    </row>
    <row r="415" spans="1:8" x14ac:dyDescent="0.3">
      <c r="A415" s="5">
        <v>42605</v>
      </c>
      <c r="B415" s="6">
        <v>5265.7797849999997</v>
      </c>
      <c r="C415" s="6">
        <v>5275.7402339999999</v>
      </c>
      <c r="D415" s="6">
        <v>5257.8999020000001</v>
      </c>
      <c r="E415" s="6">
        <v>5260.080078</v>
      </c>
      <c r="F415" s="6">
        <v>5260.080078</v>
      </c>
      <c r="G415" s="4">
        <v>1547050000</v>
      </c>
      <c r="H415">
        <f t="shared" si="6"/>
        <v>2.9472560698613919E-3</v>
      </c>
    </row>
    <row r="416" spans="1:8" x14ac:dyDescent="0.3">
      <c r="A416" s="5">
        <v>42606</v>
      </c>
      <c r="B416" s="6">
        <v>5254.419922</v>
      </c>
      <c r="C416" s="6">
        <v>5262.9902339999999</v>
      </c>
      <c r="D416" s="6">
        <v>5205.6401370000003</v>
      </c>
      <c r="E416" s="6">
        <v>5217.6899409999996</v>
      </c>
      <c r="F416" s="6">
        <v>5217.6899409999996</v>
      </c>
      <c r="G416" s="4">
        <v>1714780000</v>
      </c>
      <c r="H416">
        <f t="shared" si="6"/>
        <v>-8.0914866816164232E-3</v>
      </c>
    </row>
    <row r="417" spans="1:8" x14ac:dyDescent="0.3">
      <c r="A417" s="5">
        <v>42607</v>
      </c>
      <c r="B417" s="6">
        <v>5207.6098629999997</v>
      </c>
      <c r="C417" s="6">
        <v>5230.5898440000001</v>
      </c>
      <c r="D417" s="6">
        <v>5201.6401370000003</v>
      </c>
      <c r="E417" s="6">
        <v>5212.2001950000003</v>
      </c>
      <c r="F417" s="6">
        <v>5212.2001950000003</v>
      </c>
      <c r="G417" s="4">
        <v>1511890000</v>
      </c>
      <c r="H417">
        <f t="shared" si="6"/>
        <v>-1.0526949824741308E-3</v>
      </c>
    </row>
    <row r="418" spans="1:8" x14ac:dyDescent="0.3">
      <c r="A418" s="5">
        <v>42608</v>
      </c>
      <c r="B418" s="6">
        <v>5219.0498049999997</v>
      </c>
      <c r="C418" s="6">
        <v>5253.3901370000003</v>
      </c>
      <c r="D418" s="6">
        <v>5191.8598629999997</v>
      </c>
      <c r="E418" s="6">
        <v>5218.919922</v>
      </c>
      <c r="F418" s="6">
        <v>5218.919922</v>
      </c>
      <c r="G418" s="4">
        <v>1591060000</v>
      </c>
      <c r="H418">
        <f t="shared" si="6"/>
        <v>1.2884000671405987E-3</v>
      </c>
    </row>
    <row r="419" spans="1:8" x14ac:dyDescent="0.3">
      <c r="A419" s="5">
        <v>42611</v>
      </c>
      <c r="B419" s="6">
        <v>5223.7998049999997</v>
      </c>
      <c r="C419" s="6">
        <v>5245.1201170000004</v>
      </c>
      <c r="D419" s="6">
        <v>5222.3398440000001</v>
      </c>
      <c r="E419" s="6">
        <v>5232.330078</v>
      </c>
      <c r="F419" s="6">
        <v>5232.330078</v>
      </c>
      <c r="G419" s="4">
        <v>1416640000</v>
      </c>
      <c r="H419">
        <f t="shared" si="6"/>
        <v>2.566231476508668E-3</v>
      </c>
    </row>
    <row r="420" spans="1:8" x14ac:dyDescent="0.3">
      <c r="A420" s="5">
        <v>42612</v>
      </c>
      <c r="B420" s="6">
        <v>5229.8798829999996</v>
      </c>
      <c r="C420" s="6">
        <v>5241.6201170000004</v>
      </c>
      <c r="D420" s="6">
        <v>5205.6098629999997</v>
      </c>
      <c r="E420" s="6">
        <v>5222.9902339999999</v>
      </c>
      <c r="F420" s="6">
        <v>5222.9902339999999</v>
      </c>
      <c r="G420" s="4">
        <v>1561020000</v>
      </c>
      <c r="H420">
        <f t="shared" si="6"/>
        <v>-1.7866208218775175E-3</v>
      </c>
    </row>
    <row r="421" spans="1:8" x14ac:dyDescent="0.3">
      <c r="A421" s="5">
        <v>42613</v>
      </c>
      <c r="B421" s="6">
        <v>5216.419922</v>
      </c>
      <c r="C421" s="6">
        <v>5219.8901370000003</v>
      </c>
      <c r="D421" s="6">
        <v>5191.1801759999998</v>
      </c>
      <c r="E421" s="6">
        <v>5213.2202150000003</v>
      </c>
      <c r="F421" s="6">
        <v>5213.2202150000003</v>
      </c>
      <c r="G421" s="4">
        <v>1761770000</v>
      </c>
      <c r="H421">
        <f t="shared" si="6"/>
        <v>-1.8723313221618877E-3</v>
      </c>
    </row>
    <row r="422" spans="1:8" x14ac:dyDescent="0.3">
      <c r="A422" s="5">
        <v>42614</v>
      </c>
      <c r="B422" s="6">
        <v>5218.2797849999997</v>
      </c>
      <c r="C422" s="6">
        <v>5229.9399409999996</v>
      </c>
      <c r="D422" s="6">
        <v>5189.3598629999997</v>
      </c>
      <c r="E422" s="6">
        <v>5227.2099609999996</v>
      </c>
      <c r="F422" s="6">
        <v>5227.2099609999996</v>
      </c>
      <c r="G422" s="4">
        <v>1592520000</v>
      </c>
      <c r="H422">
        <f t="shared" si="6"/>
        <v>2.6799191483472154E-3</v>
      </c>
    </row>
    <row r="423" spans="1:8" x14ac:dyDescent="0.3">
      <c r="A423" s="5">
        <v>42615</v>
      </c>
      <c r="B423" s="6">
        <v>5249.6601559999999</v>
      </c>
      <c r="C423" s="6">
        <v>5263.3901370000003</v>
      </c>
      <c r="D423" s="6">
        <v>5231.0200199999999</v>
      </c>
      <c r="E423" s="6">
        <v>5249.8999020000001</v>
      </c>
      <c r="F423" s="6">
        <v>5249.8999020000001</v>
      </c>
      <c r="G423" s="4">
        <v>1474200000</v>
      </c>
      <c r="H423">
        <f t="shared" si="6"/>
        <v>4.331342664079702E-3</v>
      </c>
    </row>
    <row r="424" spans="1:8" x14ac:dyDescent="0.3">
      <c r="A424" s="5">
        <v>42619</v>
      </c>
      <c r="B424" s="6">
        <v>5260</v>
      </c>
      <c r="C424" s="6">
        <v>5275.9101559999999</v>
      </c>
      <c r="D424" s="6">
        <v>5244</v>
      </c>
      <c r="E424" s="6">
        <v>5275.9101559999999</v>
      </c>
      <c r="F424" s="6">
        <v>5275.9101559999999</v>
      </c>
      <c r="G424" s="4">
        <v>1777940000</v>
      </c>
      <c r="H424">
        <f t="shared" si="6"/>
        <v>4.942195764317826E-3</v>
      </c>
    </row>
    <row r="425" spans="1:8" x14ac:dyDescent="0.3">
      <c r="A425" s="5">
        <v>42620</v>
      </c>
      <c r="B425" s="6">
        <v>5274.2299800000001</v>
      </c>
      <c r="C425" s="6">
        <v>5287.6098629999997</v>
      </c>
      <c r="D425" s="6">
        <v>5261.919922</v>
      </c>
      <c r="E425" s="6">
        <v>5283.9301759999998</v>
      </c>
      <c r="F425" s="6">
        <v>5283.9301759999998</v>
      </c>
      <c r="G425" s="4">
        <v>1878460000</v>
      </c>
      <c r="H425">
        <f t="shared" si="6"/>
        <v>1.5189664407554769E-3</v>
      </c>
    </row>
    <row r="426" spans="1:8" x14ac:dyDescent="0.3">
      <c r="A426" s="5">
        <v>42621</v>
      </c>
      <c r="B426" s="6">
        <v>5269.9599609999996</v>
      </c>
      <c r="C426" s="6">
        <v>5271.0097660000001</v>
      </c>
      <c r="D426" s="6">
        <v>5248.4101559999999</v>
      </c>
      <c r="E426" s="6">
        <v>5259.4799800000001</v>
      </c>
      <c r="F426" s="6">
        <v>5259.4799800000001</v>
      </c>
      <c r="G426" s="4">
        <v>1839790000</v>
      </c>
      <c r="H426">
        <f t="shared" si="6"/>
        <v>-4.6380135966597527E-3</v>
      </c>
    </row>
    <row r="427" spans="1:8" x14ac:dyDescent="0.3">
      <c r="A427" s="5">
        <v>42622</v>
      </c>
      <c r="B427" s="6">
        <v>5217.9501950000003</v>
      </c>
      <c r="C427" s="6">
        <v>5225.9301759999998</v>
      </c>
      <c r="D427" s="6">
        <v>5125.9101559999999</v>
      </c>
      <c r="E427" s="6">
        <v>5125.9101559999999</v>
      </c>
      <c r="F427" s="6">
        <v>5125.9101559999999</v>
      </c>
      <c r="G427" s="4">
        <v>2208690000</v>
      </c>
      <c r="H427">
        <f t="shared" si="6"/>
        <v>-2.5724058072850092E-2</v>
      </c>
    </row>
    <row r="428" spans="1:8" x14ac:dyDescent="0.3">
      <c r="A428" s="5">
        <v>42625</v>
      </c>
      <c r="B428" s="6">
        <v>5098.0297849999997</v>
      </c>
      <c r="C428" s="6">
        <v>5217.8798829999996</v>
      </c>
      <c r="D428" s="6">
        <v>5097.7998049999997</v>
      </c>
      <c r="E428" s="6">
        <v>5211.8901370000003</v>
      </c>
      <c r="F428" s="6">
        <v>5211.8901370000003</v>
      </c>
      <c r="G428" s="4">
        <v>2007610000</v>
      </c>
      <c r="H428">
        <f t="shared" si="6"/>
        <v>1.6634479512334079E-2</v>
      </c>
    </row>
    <row r="429" spans="1:8" x14ac:dyDescent="0.3">
      <c r="A429" s="5">
        <v>42626</v>
      </c>
      <c r="B429" s="6">
        <v>5181.1401370000003</v>
      </c>
      <c r="C429" s="6">
        <v>5195.0297849999997</v>
      </c>
      <c r="D429" s="6">
        <v>5131.2700199999999</v>
      </c>
      <c r="E429" s="6">
        <v>5155.25</v>
      </c>
      <c r="F429" s="6">
        <v>5155.25</v>
      </c>
      <c r="G429" s="4">
        <v>2071460000</v>
      </c>
      <c r="H429">
        <f t="shared" si="6"/>
        <v>-1.0926967285712909E-2</v>
      </c>
    </row>
    <row r="430" spans="1:8" x14ac:dyDescent="0.3">
      <c r="A430" s="5">
        <v>42627</v>
      </c>
      <c r="B430" s="6">
        <v>5160.2099609999996</v>
      </c>
      <c r="C430" s="6">
        <v>5201.3398440000001</v>
      </c>
      <c r="D430" s="6">
        <v>5159.5498049999997</v>
      </c>
      <c r="E430" s="6">
        <v>5173.7700199999999</v>
      </c>
      <c r="F430" s="6">
        <v>5173.7700199999999</v>
      </c>
      <c r="G430" s="4">
        <v>1902680000</v>
      </c>
      <c r="H430">
        <f t="shared" si="6"/>
        <v>3.5860207087836673E-3</v>
      </c>
    </row>
    <row r="431" spans="1:8" x14ac:dyDescent="0.3">
      <c r="A431" s="5">
        <v>42628</v>
      </c>
      <c r="B431" s="6">
        <v>5178.1000979999999</v>
      </c>
      <c r="C431" s="6">
        <v>5254.7797849999997</v>
      </c>
      <c r="D431" s="6">
        <v>5176.25</v>
      </c>
      <c r="E431" s="6">
        <v>5249.6899409999996</v>
      </c>
      <c r="F431" s="6">
        <v>5249.6899409999996</v>
      </c>
      <c r="G431" s="4">
        <v>1950940000</v>
      </c>
      <c r="H431">
        <f t="shared" si="6"/>
        <v>1.4567382395324293E-2</v>
      </c>
    </row>
    <row r="432" spans="1:8" x14ac:dyDescent="0.3">
      <c r="A432" s="5">
        <v>42629</v>
      </c>
      <c r="B432" s="6">
        <v>5238.7099609999996</v>
      </c>
      <c r="C432" s="6">
        <v>5248.6000979999999</v>
      </c>
      <c r="D432" s="6">
        <v>5218.9702150000003</v>
      </c>
      <c r="E432" s="6">
        <v>5244.5698240000002</v>
      </c>
      <c r="F432" s="6">
        <v>5244.5698240000002</v>
      </c>
      <c r="G432" s="4">
        <v>3013860000</v>
      </c>
      <c r="H432">
        <f t="shared" si="6"/>
        <v>-9.7579391418271594E-4</v>
      </c>
    </row>
    <row r="433" spans="1:8" x14ac:dyDescent="0.3">
      <c r="A433" s="5">
        <v>42632</v>
      </c>
      <c r="B433" s="6">
        <v>5263.5498049999997</v>
      </c>
      <c r="C433" s="6">
        <v>5281.0698240000002</v>
      </c>
      <c r="D433" s="6">
        <v>5222.9101559999999</v>
      </c>
      <c r="E433" s="6">
        <v>5235.0297849999997</v>
      </c>
      <c r="F433" s="6">
        <v>5235.0297849999997</v>
      </c>
      <c r="G433" s="4">
        <v>1791120000</v>
      </c>
      <c r="H433">
        <f t="shared" si="6"/>
        <v>-1.8206881925466091E-3</v>
      </c>
    </row>
    <row r="434" spans="1:8" x14ac:dyDescent="0.3">
      <c r="A434" s="5">
        <v>42633</v>
      </c>
      <c r="B434" s="6">
        <v>5256.1899409999996</v>
      </c>
      <c r="C434" s="6">
        <v>5265.1801759999998</v>
      </c>
      <c r="D434" s="6">
        <v>5235.419922</v>
      </c>
      <c r="E434" s="6">
        <v>5241.3500979999999</v>
      </c>
      <c r="F434" s="6">
        <v>5241.3500979999999</v>
      </c>
      <c r="G434" s="4">
        <v>1695190000</v>
      </c>
      <c r="H434">
        <f t="shared" si="6"/>
        <v>1.2065835407588401E-3</v>
      </c>
    </row>
    <row r="435" spans="1:8" x14ac:dyDescent="0.3">
      <c r="A435" s="5">
        <v>42634</v>
      </c>
      <c r="B435" s="6">
        <v>5263.6499020000001</v>
      </c>
      <c r="C435" s="6">
        <v>5299.3999020000001</v>
      </c>
      <c r="D435" s="6">
        <v>5233.9399409999996</v>
      </c>
      <c r="E435" s="6">
        <v>5295.1801759999998</v>
      </c>
      <c r="F435" s="6">
        <v>5295.1801759999998</v>
      </c>
      <c r="G435" s="4">
        <v>1999690000</v>
      </c>
      <c r="H435">
        <f t="shared" si="6"/>
        <v>1.0217888611251212E-2</v>
      </c>
    </row>
    <row r="436" spans="1:8" x14ac:dyDescent="0.3">
      <c r="A436" s="5">
        <v>42635</v>
      </c>
      <c r="B436" s="6">
        <v>5323.2597660000001</v>
      </c>
      <c r="C436" s="6">
        <v>5342.8798829999996</v>
      </c>
      <c r="D436" s="6">
        <v>5320.9301759999998</v>
      </c>
      <c r="E436" s="6">
        <v>5339.5200199999999</v>
      </c>
      <c r="F436" s="6">
        <v>5339.5200199999999</v>
      </c>
      <c r="G436" s="4">
        <v>1882100000</v>
      </c>
      <c r="H436">
        <f t="shared" si="6"/>
        <v>8.3387589895456433E-3</v>
      </c>
    </row>
    <row r="437" spans="1:8" x14ac:dyDescent="0.3">
      <c r="A437" s="5">
        <v>42636</v>
      </c>
      <c r="B437" s="6">
        <v>5327.4301759999998</v>
      </c>
      <c r="C437" s="6">
        <v>5329.7099609999996</v>
      </c>
      <c r="D437" s="6">
        <v>5301.6298829999996</v>
      </c>
      <c r="E437" s="6">
        <v>5305.75</v>
      </c>
      <c r="F437" s="6">
        <v>5305.75</v>
      </c>
      <c r="G437" s="4">
        <v>1761330000</v>
      </c>
      <c r="H437">
        <f t="shared" si="6"/>
        <v>-6.3446269035594997E-3</v>
      </c>
    </row>
    <row r="438" spans="1:8" x14ac:dyDescent="0.3">
      <c r="A438" s="5">
        <v>42639</v>
      </c>
      <c r="B438" s="6">
        <v>5275.7299800000001</v>
      </c>
      <c r="C438" s="6">
        <v>5282.2700199999999</v>
      </c>
      <c r="D438" s="6">
        <v>5254.9599609999996</v>
      </c>
      <c r="E438" s="6">
        <v>5257.4902339999999</v>
      </c>
      <c r="F438" s="6">
        <v>5257.4902339999999</v>
      </c>
      <c r="G438" s="4">
        <v>1669520000</v>
      </c>
      <c r="H438">
        <f t="shared" si="6"/>
        <v>-9.1373670774730961E-3</v>
      </c>
    </row>
    <row r="439" spans="1:8" x14ac:dyDescent="0.3">
      <c r="A439" s="5">
        <v>42640</v>
      </c>
      <c r="B439" s="6">
        <v>5254.1801759999998</v>
      </c>
      <c r="C439" s="6">
        <v>5306.8100590000004</v>
      </c>
      <c r="D439" s="6">
        <v>5251.3198240000002</v>
      </c>
      <c r="E439" s="6">
        <v>5305.7099609999996</v>
      </c>
      <c r="F439" s="6">
        <v>5305.7099609999996</v>
      </c>
      <c r="G439" s="4">
        <v>1751060000</v>
      </c>
      <c r="H439">
        <f t="shared" si="6"/>
        <v>9.1298207077656086E-3</v>
      </c>
    </row>
    <row r="440" spans="1:8" x14ac:dyDescent="0.3">
      <c r="A440" s="5">
        <v>42641</v>
      </c>
      <c r="B440" s="6">
        <v>5312.7299800000001</v>
      </c>
      <c r="C440" s="6">
        <v>5320.6201170000004</v>
      </c>
      <c r="D440" s="6">
        <v>5284.8398440000001</v>
      </c>
      <c r="E440" s="6">
        <v>5318.5498049999997</v>
      </c>
      <c r="F440" s="6">
        <v>5318.5498049999997</v>
      </c>
      <c r="G440" s="4">
        <v>1785470000</v>
      </c>
      <c r="H440">
        <f t="shared" si="6"/>
        <v>2.4170813842967456E-3</v>
      </c>
    </row>
    <row r="441" spans="1:8" x14ac:dyDescent="0.3">
      <c r="A441" s="5">
        <v>42642</v>
      </c>
      <c r="B441" s="6">
        <v>5311.3100590000004</v>
      </c>
      <c r="C441" s="6">
        <v>5317</v>
      </c>
      <c r="D441" s="6">
        <v>5254.5200199999999</v>
      </c>
      <c r="E441" s="6">
        <v>5269.1499020000001</v>
      </c>
      <c r="F441" s="6">
        <v>5269.1499020000001</v>
      </c>
      <c r="G441" s="4">
        <v>1941170000</v>
      </c>
      <c r="H441">
        <f t="shared" si="6"/>
        <v>-9.3316325250207867E-3</v>
      </c>
    </row>
    <row r="442" spans="1:8" x14ac:dyDescent="0.3">
      <c r="A442" s="5">
        <v>42643</v>
      </c>
      <c r="B442" s="6">
        <v>5288.8701170000004</v>
      </c>
      <c r="C442" s="6">
        <v>5325.8798829999996</v>
      </c>
      <c r="D442" s="6">
        <v>5277.8798829999996</v>
      </c>
      <c r="E442" s="6">
        <v>5312</v>
      </c>
      <c r="F442" s="6">
        <v>5312</v>
      </c>
      <c r="G442" s="4">
        <v>2059800000</v>
      </c>
      <c r="H442">
        <f t="shared" si="6"/>
        <v>8.0993715509507687E-3</v>
      </c>
    </row>
    <row r="443" spans="1:8" x14ac:dyDescent="0.3">
      <c r="A443" s="5">
        <v>42646</v>
      </c>
      <c r="B443" s="6">
        <v>5300.2900390000004</v>
      </c>
      <c r="C443" s="6">
        <v>5308.6000979999999</v>
      </c>
      <c r="D443" s="6">
        <v>5281.9501950000003</v>
      </c>
      <c r="E443" s="6">
        <v>5300.8701170000004</v>
      </c>
      <c r="F443" s="6">
        <v>5300.8701170000004</v>
      </c>
      <c r="G443" s="4">
        <v>1604060000</v>
      </c>
      <c r="H443">
        <f t="shared" si="6"/>
        <v>-2.0974320721038205E-3</v>
      </c>
    </row>
    <row r="444" spans="1:8" x14ac:dyDescent="0.3">
      <c r="A444" s="5">
        <v>42647</v>
      </c>
      <c r="B444" s="6">
        <v>5313.4902339999999</v>
      </c>
      <c r="C444" s="6">
        <v>5323.6000979999999</v>
      </c>
      <c r="D444" s="6">
        <v>5271.7001950000003</v>
      </c>
      <c r="E444" s="6">
        <v>5289.6601559999999</v>
      </c>
      <c r="F444" s="6">
        <v>5289.6601559999999</v>
      </c>
      <c r="G444" s="4">
        <v>1708990000</v>
      </c>
      <c r="H444">
        <f t="shared" si="6"/>
        <v>-2.11697901759015E-3</v>
      </c>
    </row>
    <row r="445" spans="1:8" x14ac:dyDescent="0.3">
      <c r="A445" s="5">
        <v>42648</v>
      </c>
      <c r="B445" s="6">
        <v>5305.2797849999997</v>
      </c>
      <c r="C445" s="6">
        <v>5330.8100590000004</v>
      </c>
      <c r="D445" s="6">
        <v>5304.0600590000004</v>
      </c>
      <c r="E445" s="6">
        <v>5316.0200199999999</v>
      </c>
      <c r="F445" s="6">
        <v>5316.0200199999999</v>
      </c>
      <c r="G445" s="4">
        <v>1753340000</v>
      </c>
      <c r="H445">
        <f t="shared" si="6"/>
        <v>4.9709057489344859E-3</v>
      </c>
    </row>
    <row r="446" spans="1:8" x14ac:dyDescent="0.3">
      <c r="A446" s="5">
        <v>42649</v>
      </c>
      <c r="B446" s="6">
        <v>5306.5898440000001</v>
      </c>
      <c r="C446" s="6">
        <v>5315.7299800000001</v>
      </c>
      <c r="D446" s="6">
        <v>5281.4702150000003</v>
      </c>
      <c r="E446" s="6">
        <v>5306.8500979999999</v>
      </c>
      <c r="F446" s="6">
        <v>5306.8500979999999</v>
      </c>
      <c r="G446" s="4">
        <v>1654020000</v>
      </c>
      <c r="H446">
        <f t="shared" si="6"/>
        <v>-1.7264494766134804E-3</v>
      </c>
    </row>
    <row r="447" spans="1:8" x14ac:dyDescent="0.3">
      <c r="A447" s="5">
        <v>42650</v>
      </c>
      <c r="B447" s="6">
        <v>5314.919922</v>
      </c>
      <c r="C447" s="6">
        <v>5315.6499020000001</v>
      </c>
      <c r="D447" s="6">
        <v>5266.7998049999997</v>
      </c>
      <c r="E447" s="6">
        <v>5292.3999020000001</v>
      </c>
      <c r="F447" s="6">
        <v>5292.3999020000001</v>
      </c>
      <c r="G447" s="4">
        <v>1646650000</v>
      </c>
      <c r="H447">
        <f t="shared" si="6"/>
        <v>-2.7266466877600439E-3</v>
      </c>
    </row>
    <row r="448" spans="1:8" x14ac:dyDescent="0.3">
      <c r="A448" s="5">
        <v>42653</v>
      </c>
      <c r="B448" s="6">
        <v>5318.4599609999996</v>
      </c>
      <c r="C448" s="6">
        <v>5340.5200199999999</v>
      </c>
      <c r="D448" s="6">
        <v>5317.7299800000001</v>
      </c>
      <c r="E448" s="6">
        <v>5328.669922</v>
      </c>
      <c r="F448" s="6">
        <v>5328.669922</v>
      </c>
      <c r="G448" s="4">
        <v>1364150000</v>
      </c>
      <c r="H448">
        <f t="shared" si="6"/>
        <v>6.8298507760770665E-3</v>
      </c>
    </row>
    <row r="449" spans="1:8" x14ac:dyDescent="0.3">
      <c r="A449" s="5">
        <v>42654</v>
      </c>
      <c r="B449" s="6">
        <v>5321.8198240000002</v>
      </c>
      <c r="C449" s="6">
        <v>5321.8198240000002</v>
      </c>
      <c r="D449" s="6">
        <v>5227.4301759999998</v>
      </c>
      <c r="E449" s="6">
        <v>5246.7900390000004</v>
      </c>
      <c r="F449" s="6">
        <v>5246.7900390000004</v>
      </c>
      <c r="G449" s="4">
        <v>1821680000</v>
      </c>
      <c r="H449">
        <f t="shared" si="6"/>
        <v>-1.5485192978533808E-2</v>
      </c>
    </row>
    <row r="450" spans="1:8" x14ac:dyDescent="0.3">
      <c r="A450" s="5">
        <v>42655</v>
      </c>
      <c r="B450" s="6">
        <v>5247.9101559999999</v>
      </c>
      <c r="C450" s="6">
        <v>5257.1801759999998</v>
      </c>
      <c r="D450" s="6">
        <v>5228.7700199999999</v>
      </c>
      <c r="E450" s="6">
        <v>5239.0200199999999</v>
      </c>
      <c r="F450" s="6">
        <v>5239.0200199999999</v>
      </c>
      <c r="G450" s="4">
        <v>1565940000</v>
      </c>
      <c r="H450">
        <f t="shared" si="6"/>
        <v>-1.4820067078113214E-3</v>
      </c>
    </row>
    <row r="451" spans="1:8" x14ac:dyDescent="0.3">
      <c r="A451" s="5">
        <v>42656</v>
      </c>
      <c r="B451" s="6">
        <v>5200.2998049999997</v>
      </c>
      <c r="C451" s="6">
        <v>5228.2597660000001</v>
      </c>
      <c r="D451" s="6">
        <v>5169.7597660000001</v>
      </c>
      <c r="E451" s="6">
        <v>5213.330078</v>
      </c>
      <c r="F451" s="6">
        <v>5213.330078</v>
      </c>
      <c r="G451" s="4">
        <v>1735310000</v>
      </c>
      <c r="H451">
        <f t="shared" si="6"/>
        <v>-4.9156397344237634E-3</v>
      </c>
    </row>
    <row r="452" spans="1:8" x14ac:dyDescent="0.3">
      <c r="A452" s="5">
        <v>42657</v>
      </c>
      <c r="B452" s="6">
        <v>5241.2597660000001</v>
      </c>
      <c r="C452" s="6">
        <v>5258.8798829999996</v>
      </c>
      <c r="D452" s="6">
        <v>5213.3701170000004</v>
      </c>
      <c r="E452" s="6">
        <v>5214.1601559999999</v>
      </c>
      <c r="F452" s="6">
        <v>5214.1601559999999</v>
      </c>
      <c r="G452" s="4">
        <v>1594480000</v>
      </c>
      <c r="H452">
        <f t="shared" ref="H452:H515" si="7">LN(E452/E451)</f>
        <v>1.5920954767179144E-4</v>
      </c>
    </row>
    <row r="453" spans="1:8" x14ac:dyDescent="0.3">
      <c r="A453" s="5">
        <v>42660</v>
      </c>
      <c r="B453" s="6">
        <v>5213.6899409999996</v>
      </c>
      <c r="C453" s="6">
        <v>5219.9799800000001</v>
      </c>
      <c r="D453" s="6">
        <v>5196.0297849999997</v>
      </c>
      <c r="E453" s="6">
        <v>5199.8198240000002</v>
      </c>
      <c r="F453" s="6">
        <v>5199.8198240000002</v>
      </c>
      <c r="G453" s="4">
        <v>1424270000</v>
      </c>
      <c r="H453">
        <f t="shared" si="7"/>
        <v>-2.7540558156657034E-3</v>
      </c>
    </row>
    <row r="454" spans="1:8" x14ac:dyDescent="0.3">
      <c r="A454" s="5">
        <v>42661</v>
      </c>
      <c r="B454" s="6">
        <v>5255.3198240000002</v>
      </c>
      <c r="C454" s="6">
        <v>5264.2700199999999</v>
      </c>
      <c r="D454" s="6">
        <v>5239.4399409999996</v>
      </c>
      <c r="E454" s="6">
        <v>5243.8398440000001</v>
      </c>
      <c r="F454" s="6">
        <v>5243.8398440000001</v>
      </c>
      <c r="G454" s="4">
        <v>1474430000</v>
      </c>
      <c r="H454">
        <f t="shared" si="7"/>
        <v>8.4300488702162418E-3</v>
      </c>
    </row>
    <row r="455" spans="1:8" x14ac:dyDescent="0.3">
      <c r="A455" s="5">
        <v>42662</v>
      </c>
      <c r="B455" s="6">
        <v>5240.330078</v>
      </c>
      <c r="C455" s="6">
        <v>5253.830078</v>
      </c>
      <c r="D455" s="6">
        <v>5234.25</v>
      </c>
      <c r="E455" s="6">
        <v>5246.4101559999999</v>
      </c>
      <c r="F455" s="6">
        <v>5246.4101559999999</v>
      </c>
      <c r="G455" s="4">
        <v>1546960000</v>
      </c>
      <c r="H455">
        <f t="shared" si="7"/>
        <v>4.9003828344142217E-4</v>
      </c>
    </row>
    <row r="456" spans="1:8" x14ac:dyDescent="0.3">
      <c r="A456" s="5">
        <v>42663</v>
      </c>
      <c r="B456" s="6">
        <v>5238.2001950000003</v>
      </c>
      <c r="C456" s="6">
        <v>5252.1000979999999</v>
      </c>
      <c r="D456" s="6">
        <v>5216.0498049999997</v>
      </c>
      <c r="E456" s="6">
        <v>5241.830078</v>
      </c>
      <c r="F456" s="6">
        <v>5241.830078</v>
      </c>
      <c r="G456" s="4">
        <v>1741820000</v>
      </c>
      <c r="H456">
        <f t="shared" si="7"/>
        <v>-8.733740244214242E-4</v>
      </c>
    </row>
    <row r="457" spans="1:8" x14ac:dyDescent="0.3">
      <c r="A457" s="5">
        <v>42664</v>
      </c>
      <c r="B457" s="6">
        <v>5238.6499020000001</v>
      </c>
      <c r="C457" s="6">
        <v>5259.1298829999996</v>
      </c>
      <c r="D457" s="6">
        <v>5225.7597660000001</v>
      </c>
      <c r="E457" s="6">
        <v>5257.3999020000001</v>
      </c>
      <c r="F457" s="6">
        <v>5257.3999020000001</v>
      </c>
      <c r="G457" s="4">
        <v>1649470000</v>
      </c>
      <c r="H457">
        <f t="shared" si="7"/>
        <v>2.9659004409032922E-3</v>
      </c>
    </row>
    <row r="458" spans="1:8" x14ac:dyDescent="0.3">
      <c r="A458" s="5">
        <v>42667</v>
      </c>
      <c r="B458" s="6">
        <v>5290.3100590000004</v>
      </c>
      <c r="C458" s="6">
        <v>5311.5</v>
      </c>
      <c r="D458" s="6">
        <v>5289.2299800000001</v>
      </c>
      <c r="E458" s="6">
        <v>5309.830078</v>
      </c>
      <c r="F458" s="6">
        <v>5309.830078</v>
      </c>
      <c r="G458" s="4">
        <v>1531970000</v>
      </c>
      <c r="H458">
        <f t="shared" si="7"/>
        <v>9.9232450387231868E-3</v>
      </c>
    </row>
    <row r="459" spans="1:8" x14ac:dyDescent="0.3">
      <c r="A459" s="5">
        <v>42668</v>
      </c>
      <c r="B459" s="6">
        <v>5306.4702150000003</v>
      </c>
      <c r="C459" s="6">
        <v>5310.2700199999999</v>
      </c>
      <c r="D459" s="6">
        <v>5278.5698240000002</v>
      </c>
      <c r="E459" s="6">
        <v>5283.3999020000001</v>
      </c>
      <c r="F459" s="6">
        <v>5283.3999020000001</v>
      </c>
      <c r="G459" s="4">
        <v>1579490000</v>
      </c>
      <c r="H459">
        <f t="shared" si="7"/>
        <v>-4.9900230417388126E-3</v>
      </c>
    </row>
    <row r="460" spans="1:8" x14ac:dyDescent="0.3">
      <c r="A460" s="5">
        <v>42669</v>
      </c>
      <c r="B460" s="6">
        <v>5256.3999020000001</v>
      </c>
      <c r="C460" s="6">
        <v>5280.8500979999999</v>
      </c>
      <c r="D460" s="6">
        <v>5237.0498049999997</v>
      </c>
      <c r="E460" s="6">
        <v>5250.2700199999999</v>
      </c>
      <c r="F460" s="6">
        <v>5250.2700199999999</v>
      </c>
      <c r="G460" s="4">
        <v>1725900000</v>
      </c>
      <c r="H460">
        <f t="shared" si="7"/>
        <v>-6.2903036615526917E-3</v>
      </c>
    </row>
    <row r="461" spans="1:8" x14ac:dyDescent="0.3">
      <c r="A461" s="5">
        <v>42670</v>
      </c>
      <c r="B461" s="6">
        <v>5272.1899409999996</v>
      </c>
      <c r="C461" s="6">
        <v>5274.1201170000004</v>
      </c>
      <c r="D461" s="6">
        <v>5211.75</v>
      </c>
      <c r="E461" s="6">
        <v>5215.9702150000003</v>
      </c>
      <c r="F461" s="6">
        <v>5215.9702150000003</v>
      </c>
      <c r="G461" s="4">
        <v>1918690000</v>
      </c>
      <c r="H461">
        <f t="shared" si="7"/>
        <v>-6.554393368254351E-3</v>
      </c>
    </row>
    <row r="462" spans="1:8" x14ac:dyDescent="0.3">
      <c r="A462" s="5">
        <v>42671</v>
      </c>
      <c r="B462" s="6">
        <v>5203.7001950000003</v>
      </c>
      <c r="C462" s="6">
        <v>5232.3500979999999</v>
      </c>
      <c r="D462" s="6">
        <v>5178.7597660000001</v>
      </c>
      <c r="E462" s="6">
        <v>5190.1000979999999</v>
      </c>
      <c r="F462" s="6">
        <v>5190.1000979999999</v>
      </c>
      <c r="G462" s="4">
        <v>1895970000</v>
      </c>
      <c r="H462">
        <f t="shared" si="7"/>
        <v>-4.9721305966172894E-3</v>
      </c>
    </row>
    <row r="463" spans="1:8" x14ac:dyDescent="0.3">
      <c r="A463" s="5">
        <v>42674</v>
      </c>
      <c r="B463" s="6">
        <v>5205.0898440000001</v>
      </c>
      <c r="C463" s="6">
        <v>5206.7099609999996</v>
      </c>
      <c r="D463" s="6">
        <v>5186.5600590000004</v>
      </c>
      <c r="E463" s="6">
        <v>5189.1401370000003</v>
      </c>
      <c r="F463" s="6">
        <v>5189.1401370000003</v>
      </c>
      <c r="G463" s="4">
        <v>1707260000</v>
      </c>
      <c r="H463">
        <f t="shared" si="7"/>
        <v>-1.8497712375899195E-4</v>
      </c>
    </row>
    <row r="464" spans="1:8" x14ac:dyDescent="0.3">
      <c r="A464" s="5">
        <v>42675</v>
      </c>
      <c r="B464" s="6">
        <v>5199.7700199999999</v>
      </c>
      <c r="C464" s="6">
        <v>5201.1298829999996</v>
      </c>
      <c r="D464" s="6">
        <v>5112.3198240000002</v>
      </c>
      <c r="E464" s="6">
        <v>5153.580078</v>
      </c>
      <c r="F464" s="6">
        <v>5153.580078</v>
      </c>
      <c r="G464" s="4">
        <v>1878650000</v>
      </c>
      <c r="H464">
        <f t="shared" si="7"/>
        <v>-6.8763726332433236E-3</v>
      </c>
    </row>
    <row r="465" spans="1:8" x14ac:dyDescent="0.3">
      <c r="A465" s="5">
        <v>42676</v>
      </c>
      <c r="B465" s="6">
        <v>5147.2797849999997</v>
      </c>
      <c r="C465" s="6">
        <v>5156.7001950000003</v>
      </c>
      <c r="D465" s="6">
        <v>5097.5600590000004</v>
      </c>
      <c r="E465" s="6">
        <v>5105.5698240000002</v>
      </c>
      <c r="F465" s="6">
        <v>5105.5698240000002</v>
      </c>
      <c r="G465" s="4">
        <v>2105870000</v>
      </c>
      <c r="H465">
        <f t="shared" si="7"/>
        <v>-9.3595677885592882E-3</v>
      </c>
    </row>
    <row r="466" spans="1:8" x14ac:dyDescent="0.3">
      <c r="A466" s="5">
        <v>42677</v>
      </c>
      <c r="B466" s="6">
        <v>5104.7001950000003</v>
      </c>
      <c r="C466" s="6">
        <v>5115.0600590000004</v>
      </c>
      <c r="D466" s="6">
        <v>5053.5200199999999</v>
      </c>
      <c r="E466" s="6">
        <v>5058.4101559999999</v>
      </c>
      <c r="F466" s="6">
        <v>5058.4101559999999</v>
      </c>
      <c r="G466" s="4">
        <v>2107720000</v>
      </c>
      <c r="H466">
        <f t="shared" si="7"/>
        <v>-9.2798306417150398E-3</v>
      </c>
    </row>
    <row r="467" spans="1:8" x14ac:dyDescent="0.3">
      <c r="A467" s="5">
        <v>42678</v>
      </c>
      <c r="B467" s="6">
        <v>5034.4101559999999</v>
      </c>
      <c r="C467" s="6">
        <v>5087.5097660000001</v>
      </c>
      <c r="D467" s="6">
        <v>5034.4101559999999</v>
      </c>
      <c r="E467" s="6">
        <v>5046.3701170000004</v>
      </c>
      <c r="F467" s="6">
        <v>5046.3701170000004</v>
      </c>
      <c r="G467" s="4">
        <v>2015130000</v>
      </c>
      <c r="H467">
        <f t="shared" si="7"/>
        <v>-2.3830393878024347E-3</v>
      </c>
    </row>
    <row r="468" spans="1:8" x14ac:dyDescent="0.3">
      <c r="A468" s="5">
        <v>42681</v>
      </c>
      <c r="B468" s="6">
        <v>5128.9902339999999</v>
      </c>
      <c r="C468" s="6">
        <v>5169.4101559999999</v>
      </c>
      <c r="D468" s="6">
        <v>5122.7700199999999</v>
      </c>
      <c r="E468" s="6">
        <v>5166.169922</v>
      </c>
      <c r="F468" s="6">
        <v>5166.169922</v>
      </c>
      <c r="G468" s="4">
        <v>1914310000</v>
      </c>
      <c r="H468">
        <f t="shared" si="7"/>
        <v>2.3462390383981464E-2</v>
      </c>
    </row>
    <row r="469" spans="1:8" x14ac:dyDescent="0.3">
      <c r="A469" s="5">
        <v>42682</v>
      </c>
      <c r="B469" s="6">
        <v>5154.9902339999999</v>
      </c>
      <c r="C469" s="6">
        <v>5214.169922</v>
      </c>
      <c r="D469" s="6">
        <v>5145.2998049999997</v>
      </c>
      <c r="E469" s="6">
        <v>5193.4902339999999</v>
      </c>
      <c r="F469" s="6">
        <v>5193.4902339999999</v>
      </c>
      <c r="G469" s="4">
        <v>1736100000</v>
      </c>
      <c r="H469">
        <f t="shared" si="7"/>
        <v>5.2743767505876544E-3</v>
      </c>
    </row>
    <row r="470" spans="1:8" x14ac:dyDescent="0.3">
      <c r="A470" s="5">
        <v>42683</v>
      </c>
      <c r="B470" s="6">
        <v>5143.8598629999997</v>
      </c>
      <c r="C470" s="6">
        <v>5258.9902339999999</v>
      </c>
      <c r="D470" s="6">
        <v>5143.8598629999997</v>
      </c>
      <c r="E470" s="6">
        <v>5251.0698240000002</v>
      </c>
      <c r="F470" s="6">
        <v>5251.0698240000002</v>
      </c>
      <c r="G470" s="4">
        <v>2824560000</v>
      </c>
      <c r="H470">
        <f t="shared" si="7"/>
        <v>1.1025868587519921E-2</v>
      </c>
    </row>
    <row r="471" spans="1:8" x14ac:dyDescent="0.3">
      <c r="A471" s="5">
        <v>42684</v>
      </c>
      <c r="B471" s="6">
        <v>5283.4799800000001</v>
      </c>
      <c r="C471" s="6">
        <v>5302.6801759999998</v>
      </c>
      <c r="D471" s="6">
        <v>5145.3198240000002</v>
      </c>
      <c r="E471" s="6">
        <v>5208.7998049999997</v>
      </c>
      <c r="F471" s="6">
        <v>5208.7998049999997</v>
      </c>
      <c r="G471" s="4">
        <v>2984360000</v>
      </c>
      <c r="H471">
        <f t="shared" si="7"/>
        <v>-8.0823663401546619E-3</v>
      </c>
    </row>
    <row r="472" spans="1:8" x14ac:dyDescent="0.3">
      <c r="A472" s="5">
        <v>42685</v>
      </c>
      <c r="B472" s="6">
        <v>5191.8198240000002</v>
      </c>
      <c r="C472" s="6">
        <v>5241.080078</v>
      </c>
      <c r="D472" s="6">
        <v>5179.6401370000003</v>
      </c>
      <c r="E472" s="6">
        <v>5237.1098629999997</v>
      </c>
      <c r="F472" s="6">
        <v>5237.1098629999997</v>
      </c>
      <c r="G472" s="4">
        <v>2285050000</v>
      </c>
      <c r="H472">
        <f t="shared" si="7"/>
        <v>5.4203278052538497E-3</v>
      </c>
    </row>
    <row r="473" spans="1:8" x14ac:dyDescent="0.3">
      <c r="A473" s="5">
        <v>42688</v>
      </c>
      <c r="B473" s="6">
        <v>5246.330078</v>
      </c>
      <c r="C473" s="6">
        <v>5247.169922</v>
      </c>
      <c r="D473" s="6">
        <v>5192.0498049999997</v>
      </c>
      <c r="E473" s="6">
        <v>5218.3999020000001</v>
      </c>
      <c r="F473" s="6">
        <v>5218.3999020000001</v>
      </c>
      <c r="G473" s="4">
        <v>2369190000</v>
      </c>
      <c r="H473">
        <f t="shared" si="7"/>
        <v>-3.5789705890762031E-3</v>
      </c>
    </row>
    <row r="474" spans="1:8" x14ac:dyDescent="0.3">
      <c r="A474" s="5">
        <v>42689</v>
      </c>
      <c r="B474" s="6">
        <v>5241.3500979999999</v>
      </c>
      <c r="C474" s="6">
        <v>5287.0600590000004</v>
      </c>
      <c r="D474" s="6">
        <v>5236.25</v>
      </c>
      <c r="E474" s="6">
        <v>5275.6201170000004</v>
      </c>
      <c r="F474" s="6">
        <v>5275.6201170000004</v>
      </c>
      <c r="G474" s="4">
        <v>2156500000</v>
      </c>
      <c r="H474">
        <f t="shared" si="7"/>
        <v>1.0905407457834337E-2</v>
      </c>
    </row>
    <row r="475" spans="1:8" x14ac:dyDescent="0.3">
      <c r="A475" s="5">
        <v>42690</v>
      </c>
      <c r="B475" s="6">
        <v>5253.7402339999999</v>
      </c>
      <c r="C475" s="6">
        <v>5299.6298829999996</v>
      </c>
      <c r="D475" s="6">
        <v>5251.8798829999996</v>
      </c>
      <c r="E475" s="6">
        <v>5294.580078</v>
      </c>
      <c r="F475" s="6">
        <v>5294.580078</v>
      </c>
      <c r="G475" s="4">
        <v>2057140000</v>
      </c>
      <c r="H475">
        <f t="shared" si="7"/>
        <v>3.5874403482144871E-3</v>
      </c>
    </row>
    <row r="476" spans="1:8" x14ac:dyDescent="0.3">
      <c r="A476" s="5">
        <v>42691</v>
      </c>
      <c r="B476" s="6">
        <v>5295.0698240000002</v>
      </c>
      <c r="C476" s="6">
        <v>5334.0498049999997</v>
      </c>
      <c r="D476" s="6">
        <v>5288.1601559999999</v>
      </c>
      <c r="E476" s="6">
        <v>5333.9702150000003</v>
      </c>
      <c r="F476" s="6">
        <v>5333.9702150000003</v>
      </c>
      <c r="G476" s="4">
        <v>2081760000</v>
      </c>
      <c r="H476">
        <f t="shared" si="7"/>
        <v>7.4121712286353558E-3</v>
      </c>
    </row>
    <row r="477" spans="1:8" x14ac:dyDescent="0.3">
      <c r="A477" s="5">
        <v>42692</v>
      </c>
      <c r="B477" s="6">
        <v>5340.9702150000003</v>
      </c>
      <c r="C477" s="6">
        <v>5346.7998049999997</v>
      </c>
      <c r="D477" s="6">
        <v>5315.5297849999997</v>
      </c>
      <c r="E477" s="6">
        <v>5321.5097660000001</v>
      </c>
      <c r="F477" s="6">
        <v>5321.5097660000001</v>
      </c>
      <c r="G477" s="4">
        <v>1858610000</v>
      </c>
      <c r="H477">
        <f t="shared" si="7"/>
        <v>-2.3387880606097226E-3</v>
      </c>
    </row>
    <row r="478" spans="1:8" x14ac:dyDescent="0.3">
      <c r="A478" s="5">
        <v>42695</v>
      </c>
      <c r="B478" s="6">
        <v>5336.7797849999997</v>
      </c>
      <c r="C478" s="6">
        <v>5369.830078</v>
      </c>
      <c r="D478" s="6">
        <v>5334.1601559999999</v>
      </c>
      <c r="E478" s="6">
        <v>5368.8598629999997</v>
      </c>
      <c r="F478" s="6">
        <v>5368.8598629999997</v>
      </c>
      <c r="G478" s="4">
        <v>1745320000</v>
      </c>
      <c r="H478">
        <f t="shared" si="7"/>
        <v>8.8585162695187583E-3</v>
      </c>
    </row>
    <row r="479" spans="1:8" x14ac:dyDescent="0.3">
      <c r="A479" s="5">
        <v>42696</v>
      </c>
      <c r="B479" s="6">
        <v>5384.75</v>
      </c>
      <c r="C479" s="6">
        <v>5392.2597660000001</v>
      </c>
      <c r="D479" s="6">
        <v>5365.6000979999999</v>
      </c>
      <c r="E479" s="6">
        <v>5386.3500979999999</v>
      </c>
      <c r="F479" s="6">
        <v>5386.3500979999999</v>
      </c>
      <c r="G479" s="4">
        <v>1886800000</v>
      </c>
      <c r="H479">
        <f t="shared" si="7"/>
        <v>3.2524237985946578E-3</v>
      </c>
    </row>
    <row r="480" spans="1:8" x14ac:dyDescent="0.3">
      <c r="A480" s="5">
        <v>42697</v>
      </c>
      <c r="B480" s="6">
        <v>5366.5498049999997</v>
      </c>
      <c r="C480" s="6">
        <v>5380.6801759999998</v>
      </c>
      <c r="D480" s="6">
        <v>5350.6801759999998</v>
      </c>
      <c r="E480" s="6">
        <v>5380.6801759999998</v>
      </c>
      <c r="F480" s="6">
        <v>5380.6801759999998</v>
      </c>
      <c r="G480" s="4">
        <v>1616740000</v>
      </c>
      <c r="H480">
        <f t="shared" si="7"/>
        <v>-1.0532008139322018E-3</v>
      </c>
    </row>
    <row r="481" spans="1:8" x14ac:dyDescent="0.3">
      <c r="A481" s="5">
        <v>42699</v>
      </c>
      <c r="B481" s="6">
        <v>5388.4902339999999</v>
      </c>
      <c r="C481" s="6">
        <v>5398.919922</v>
      </c>
      <c r="D481" s="6">
        <v>5379.2797849999997</v>
      </c>
      <c r="E481" s="6">
        <v>5398.919922</v>
      </c>
      <c r="F481" s="6">
        <v>5398.919922</v>
      </c>
      <c r="G481" s="4">
        <v>768070000</v>
      </c>
      <c r="H481">
        <f t="shared" si="7"/>
        <v>3.3841261719254846E-3</v>
      </c>
    </row>
    <row r="482" spans="1:8" x14ac:dyDescent="0.3">
      <c r="A482" s="5">
        <v>42702</v>
      </c>
      <c r="B482" s="6">
        <v>5387.919922</v>
      </c>
      <c r="C482" s="6">
        <v>5396.2700199999999</v>
      </c>
      <c r="D482" s="6">
        <v>5364.9101559999999</v>
      </c>
      <c r="E482" s="6">
        <v>5368.8100590000004</v>
      </c>
      <c r="F482" s="6">
        <v>5368.8100590000004</v>
      </c>
      <c r="G482" s="4">
        <v>1625620000</v>
      </c>
      <c r="H482">
        <f t="shared" si="7"/>
        <v>-5.5926256570504734E-3</v>
      </c>
    </row>
    <row r="483" spans="1:8" x14ac:dyDescent="0.3">
      <c r="A483" s="5">
        <v>42703</v>
      </c>
      <c r="B483" s="6">
        <v>5370.9799800000001</v>
      </c>
      <c r="C483" s="6">
        <v>5403.8598629999997</v>
      </c>
      <c r="D483" s="6">
        <v>5360.5600590000004</v>
      </c>
      <c r="E483" s="6">
        <v>5379.919922</v>
      </c>
      <c r="F483" s="6">
        <v>5379.919922</v>
      </c>
      <c r="G483" s="4">
        <v>1788790000</v>
      </c>
      <c r="H483">
        <f t="shared" si="7"/>
        <v>2.0671962131252461E-3</v>
      </c>
    </row>
    <row r="484" spans="1:8" x14ac:dyDescent="0.3">
      <c r="A484" s="5">
        <v>42704</v>
      </c>
      <c r="B484" s="6">
        <v>5391.3500979999999</v>
      </c>
      <c r="C484" s="6">
        <v>5393.1499020000001</v>
      </c>
      <c r="D484" s="6">
        <v>5323.6801759999998</v>
      </c>
      <c r="E484" s="6">
        <v>5323.6801759999998</v>
      </c>
      <c r="F484" s="6">
        <v>5323.6801759999998</v>
      </c>
      <c r="G484" s="4">
        <v>2064430000</v>
      </c>
      <c r="H484">
        <f t="shared" si="7"/>
        <v>-1.0508663074060487E-2</v>
      </c>
    </row>
    <row r="485" spans="1:8" x14ac:dyDescent="0.3">
      <c r="A485" s="5">
        <v>42705</v>
      </c>
      <c r="B485" s="6">
        <v>5323.8798829999996</v>
      </c>
      <c r="C485" s="6">
        <v>5326.3398440000001</v>
      </c>
      <c r="D485" s="6">
        <v>5238.2099609999996</v>
      </c>
      <c r="E485" s="6">
        <v>5251.1098629999997</v>
      </c>
      <c r="F485" s="6">
        <v>5251.1098629999997</v>
      </c>
      <c r="G485" s="4">
        <v>2264960000</v>
      </c>
      <c r="H485">
        <f t="shared" si="7"/>
        <v>-1.3725369864873724E-2</v>
      </c>
    </row>
    <row r="486" spans="1:8" x14ac:dyDescent="0.3">
      <c r="A486" s="5">
        <v>42706</v>
      </c>
      <c r="B486" s="6">
        <v>5249.0200199999999</v>
      </c>
      <c r="C486" s="6">
        <v>5274.5400390000004</v>
      </c>
      <c r="D486" s="6">
        <v>5239.2700199999999</v>
      </c>
      <c r="E486" s="6">
        <v>5255.6499020000001</v>
      </c>
      <c r="F486" s="6">
        <v>5255.6499020000001</v>
      </c>
      <c r="G486" s="4">
        <v>1848930000</v>
      </c>
      <c r="H486">
        <f t="shared" si="7"/>
        <v>8.6421301792587472E-4</v>
      </c>
    </row>
    <row r="487" spans="1:8" x14ac:dyDescent="0.3">
      <c r="A487" s="5">
        <v>42709</v>
      </c>
      <c r="B487" s="6">
        <v>5283.580078</v>
      </c>
      <c r="C487" s="6">
        <v>5321.0898440000001</v>
      </c>
      <c r="D487" s="6">
        <v>5269.5698240000002</v>
      </c>
      <c r="E487" s="6">
        <v>5308.8901370000003</v>
      </c>
      <c r="F487" s="6">
        <v>5308.8901370000003</v>
      </c>
      <c r="G487" s="4">
        <v>1798160000</v>
      </c>
      <c r="H487">
        <f t="shared" si="7"/>
        <v>1.0079129904490138E-2</v>
      </c>
    </row>
    <row r="488" spans="1:8" x14ac:dyDescent="0.3">
      <c r="A488" s="5">
        <v>42710</v>
      </c>
      <c r="B488" s="6">
        <v>5317.7402339999999</v>
      </c>
      <c r="C488" s="6">
        <v>5333.9902339999999</v>
      </c>
      <c r="D488" s="6">
        <v>5299.9399409999996</v>
      </c>
      <c r="E488" s="6">
        <v>5333</v>
      </c>
      <c r="F488" s="6">
        <v>5333</v>
      </c>
      <c r="G488" s="4">
        <v>1974850000</v>
      </c>
      <c r="H488">
        <f t="shared" si="7"/>
        <v>4.5311319586812089E-3</v>
      </c>
    </row>
    <row r="489" spans="1:8" x14ac:dyDescent="0.3">
      <c r="A489" s="5">
        <v>42711</v>
      </c>
      <c r="B489" s="6">
        <v>5322.669922</v>
      </c>
      <c r="C489" s="6">
        <v>5397.9301759999998</v>
      </c>
      <c r="D489" s="6">
        <v>5307.3100590000004</v>
      </c>
      <c r="E489" s="6">
        <v>5393.7597660000001</v>
      </c>
      <c r="F489" s="6">
        <v>5393.7597660000001</v>
      </c>
      <c r="G489" s="4">
        <v>2122590000</v>
      </c>
      <c r="H489">
        <f t="shared" si="7"/>
        <v>1.1328754843633451E-2</v>
      </c>
    </row>
    <row r="490" spans="1:8" x14ac:dyDescent="0.3">
      <c r="A490" s="5">
        <v>42712</v>
      </c>
      <c r="B490" s="6">
        <v>5394.1499020000001</v>
      </c>
      <c r="C490" s="6">
        <v>5425.5200199999999</v>
      </c>
      <c r="D490" s="6">
        <v>5389.1000979999999</v>
      </c>
      <c r="E490" s="6">
        <v>5417.3598629999997</v>
      </c>
      <c r="F490" s="6">
        <v>5417.3598629999997</v>
      </c>
      <c r="G490" s="4">
        <v>2231070000</v>
      </c>
      <c r="H490">
        <f t="shared" si="7"/>
        <v>4.3659001651660256E-3</v>
      </c>
    </row>
    <row r="491" spans="1:8" x14ac:dyDescent="0.3">
      <c r="A491" s="5">
        <v>42713</v>
      </c>
      <c r="B491" s="6">
        <v>5436.1098629999997</v>
      </c>
      <c r="C491" s="6">
        <v>5450.1601559999999</v>
      </c>
      <c r="D491" s="6">
        <v>5427.1201170000004</v>
      </c>
      <c r="E491" s="6">
        <v>5444.5</v>
      </c>
      <c r="F491" s="6">
        <v>5444.5</v>
      </c>
      <c r="G491" s="4">
        <v>2038700000</v>
      </c>
      <c r="H491">
        <f t="shared" si="7"/>
        <v>4.9973381767137847E-3</v>
      </c>
    </row>
    <row r="492" spans="1:8" x14ac:dyDescent="0.3">
      <c r="A492" s="5">
        <v>42716</v>
      </c>
      <c r="B492" s="6">
        <v>5428.2202150000003</v>
      </c>
      <c r="C492" s="6">
        <v>5434.8999020000001</v>
      </c>
      <c r="D492" s="6">
        <v>5394.419922</v>
      </c>
      <c r="E492" s="6">
        <v>5412.5400390000004</v>
      </c>
      <c r="F492" s="6">
        <v>5412.5400390000004</v>
      </c>
      <c r="G492" s="4">
        <v>1927560000</v>
      </c>
      <c r="H492">
        <f t="shared" si="7"/>
        <v>-5.8874339969580457E-3</v>
      </c>
    </row>
    <row r="493" spans="1:8" x14ac:dyDescent="0.3">
      <c r="A493" s="5">
        <v>42717</v>
      </c>
      <c r="B493" s="6">
        <v>5433.5698240000002</v>
      </c>
      <c r="C493" s="6">
        <v>5486.75</v>
      </c>
      <c r="D493" s="6">
        <v>5430.7202150000003</v>
      </c>
      <c r="E493" s="6">
        <v>5463.830078</v>
      </c>
      <c r="F493" s="6">
        <v>5463.830078</v>
      </c>
      <c r="G493" s="4">
        <v>2085710000</v>
      </c>
      <c r="H493">
        <f t="shared" si="7"/>
        <v>9.4315325152363409E-3</v>
      </c>
    </row>
    <row r="494" spans="1:8" x14ac:dyDescent="0.3">
      <c r="A494" s="5">
        <v>42718</v>
      </c>
      <c r="B494" s="6">
        <v>5465.6899409999996</v>
      </c>
      <c r="C494" s="6">
        <v>5476.25</v>
      </c>
      <c r="D494" s="6">
        <v>5425.7299800000001</v>
      </c>
      <c r="E494" s="6">
        <v>5436.669922</v>
      </c>
      <c r="F494" s="6">
        <v>5436.669922</v>
      </c>
      <c r="G494" s="4">
        <v>1974150000</v>
      </c>
      <c r="H494">
        <f t="shared" si="7"/>
        <v>-4.9832965838649719E-3</v>
      </c>
    </row>
    <row r="495" spans="1:8" x14ac:dyDescent="0.3">
      <c r="A495" s="5">
        <v>42719</v>
      </c>
      <c r="B495" s="6">
        <v>5443.5097660000001</v>
      </c>
      <c r="C495" s="6">
        <v>5485.1201170000004</v>
      </c>
      <c r="D495" s="6">
        <v>5439.3901370000003</v>
      </c>
      <c r="E495" s="6">
        <v>5456.8500979999999</v>
      </c>
      <c r="F495" s="6">
        <v>5456.8500979999999</v>
      </c>
      <c r="G495" s="4">
        <v>2095910000</v>
      </c>
      <c r="H495">
        <f t="shared" si="7"/>
        <v>3.7049914164235791E-3</v>
      </c>
    </row>
    <row r="496" spans="1:8" x14ac:dyDescent="0.3">
      <c r="A496" s="5">
        <v>42720</v>
      </c>
      <c r="B496" s="6">
        <v>5467.8198240000002</v>
      </c>
      <c r="C496" s="6">
        <v>5474.580078</v>
      </c>
      <c r="D496" s="6">
        <v>5426.0097660000001</v>
      </c>
      <c r="E496" s="6">
        <v>5437.1601559999999</v>
      </c>
      <c r="F496" s="6">
        <v>5437.1601559999999</v>
      </c>
      <c r="G496" s="4">
        <v>3257750000</v>
      </c>
      <c r="H496">
        <f t="shared" si="7"/>
        <v>-3.6148237391993342E-3</v>
      </c>
    </row>
    <row r="497" spans="1:8" x14ac:dyDescent="0.3">
      <c r="A497" s="5">
        <v>42723</v>
      </c>
      <c r="B497" s="6">
        <v>5441.2001950000003</v>
      </c>
      <c r="C497" s="6">
        <v>5483.419922</v>
      </c>
      <c r="D497" s="6">
        <v>5436.5400390000004</v>
      </c>
      <c r="E497" s="6">
        <v>5457.4399409999996</v>
      </c>
      <c r="F497" s="6">
        <v>5457.4399409999996</v>
      </c>
      <c r="G497" s="4">
        <v>1685800000</v>
      </c>
      <c r="H497">
        <f t="shared" si="7"/>
        <v>3.7229101100885818E-3</v>
      </c>
    </row>
    <row r="498" spans="1:8" x14ac:dyDescent="0.3">
      <c r="A498" s="5">
        <v>42724</v>
      </c>
      <c r="B498" s="6">
        <v>5473.5297849999997</v>
      </c>
      <c r="C498" s="6">
        <v>5489.4702150000003</v>
      </c>
      <c r="D498" s="6">
        <v>5471.7099609999996</v>
      </c>
      <c r="E498" s="6">
        <v>5483.9399409999996</v>
      </c>
      <c r="F498" s="6">
        <v>5483.9399409999996</v>
      </c>
      <c r="G498" s="4">
        <v>1678040000</v>
      </c>
      <c r="H498">
        <f t="shared" si="7"/>
        <v>4.8440054367853945E-3</v>
      </c>
    </row>
    <row r="499" spans="1:8" x14ac:dyDescent="0.3">
      <c r="A499" s="5">
        <v>42725</v>
      </c>
      <c r="B499" s="6">
        <v>5482.6298829999996</v>
      </c>
      <c r="C499" s="6">
        <v>5486.2597660000001</v>
      </c>
      <c r="D499" s="6">
        <v>5465.3100590000004</v>
      </c>
      <c r="E499" s="6">
        <v>5471.4301759999998</v>
      </c>
      <c r="F499" s="6">
        <v>5471.4301759999998</v>
      </c>
      <c r="G499" s="4">
        <v>1493900000</v>
      </c>
      <c r="H499">
        <f t="shared" si="7"/>
        <v>-2.283769567538728E-3</v>
      </c>
    </row>
    <row r="500" spans="1:8" x14ac:dyDescent="0.3">
      <c r="A500" s="5">
        <v>42726</v>
      </c>
      <c r="B500" s="6">
        <v>5472.0097660000001</v>
      </c>
      <c r="C500" s="6">
        <v>5472.0097660000001</v>
      </c>
      <c r="D500" s="6">
        <v>5432.7700199999999</v>
      </c>
      <c r="E500" s="6">
        <v>5447.419922</v>
      </c>
      <c r="F500" s="6">
        <v>5447.419922</v>
      </c>
      <c r="G500" s="4">
        <v>1582600000</v>
      </c>
      <c r="H500">
        <f t="shared" si="7"/>
        <v>-4.3979526204664075E-3</v>
      </c>
    </row>
    <row r="501" spans="1:8" x14ac:dyDescent="0.3">
      <c r="A501" s="5">
        <v>42727</v>
      </c>
      <c r="B501" s="6">
        <v>5441.7597660000001</v>
      </c>
      <c r="C501" s="6">
        <v>5462.6899409999996</v>
      </c>
      <c r="D501" s="6">
        <v>5441.7597660000001</v>
      </c>
      <c r="E501" s="6">
        <v>5462.6899409999996</v>
      </c>
      <c r="F501" s="6">
        <v>5462.6899409999996</v>
      </c>
      <c r="G501" s="4">
        <v>1144280000</v>
      </c>
      <c r="H501">
        <f t="shared" si="7"/>
        <v>2.7992438504782667E-3</v>
      </c>
    </row>
    <row r="502" spans="1:8" x14ac:dyDescent="0.3">
      <c r="A502" s="5">
        <v>42731</v>
      </c>
      <c r="B502" s="6">
        <v>5470.7597660000001</v>
      </c>
      <c r="C502" s="6">
        <v>5512.3701170000004</v>
      </c>
      <c r="D502" s="6">
        <v>5469.6098629999997</v>
      </c>
      <c r="E502" s="6">
        <v>5487.4399409999996</v>
      </c>
      <c r="F502" s="6">
        <v>5487.4399409999996</v>
      </c>
      <c r="G502" s="4">
        <v>1216870000</v>
      </c>
      <c r="H502">
        <f t="shared" si="7"/>
        <v>4.5205020239495871E-3</v>
      </c>
    </row>
    <row r="503" spans="1:8" x14ac:dyDescent="0.3">
      <c r="A503" s="5">
        <v>42732</v>
      </c>
      <c r="B503" s="6">
        <v>5497.4399409999996</v>
      </c>
      <c r="C503" s="6">
        <v>5498.9101559999999</v>
      </c>
      <c r="D503" s="6">
        <v>5434.7001950000003</v>
      </c>
      <c r="E503" s="6">
        <v>5438.5600590000004</v>
      </c>
      <c r="F503" s="6">
        <v>5438.5600590000004</v>
      </c>
      <c r="G503" s="4">
        <v>1322130000</v>
      </c>
      <c r="H503">
        <f t="shared" si="7"/>
        <v>-8.947502855740825E-3</v>
      </c>
    </row>
    <row r="504" spans="1:8" x14ac:dyDescent="0.3">
      <c r="A504" s="5">
        <v>42733</v>
      </c>
      <c r="B504" s="6">
        <v>5437.5097660000001</v>
      </c>
      <c r="C504" s="6">
        <v>5450.6298829999996</v>
      </c>
      <c r="D504" s="6">
        <v>5415.1801759999998</v>
      </c>
      <c r="E504" s="6">
        <v>5432.0898440000001</v>
      </c>
      <c r="F504" s="6">
        <v>5432.0898440000001</v>
      </c>
      <c r="G504" s="4">
        <v>1264480000</v>
      </c>
      <c r="H504">
        <f t="shared" si="7"/>
        <v>-1.1904009091983749E-3</v>
      </c>
    </row>
    <row r="505" spans="1:8" x14ac:dyDescent="0.3">
      <c r="A505" s="5">
        <v>42734</v>
      </c>
      <c r="B505" s="6">
        <v>5440.169922</v>
      </c>
      <c r="C505" s="6">
        <v>5441.8999020000001</v>
      </c>
      <c r="D505" s="6">
        <v>5371.8901370000003</v>
      </c>
      <c r="E505" s="6">
        <v>5383.1201170000004</v>
      </c>
      <c r="F505" s="6">
        <v>5383.1201170000004</v>
      </c>
      <c r="G505" s="4">
        <v>1550820000</v>
      </c>
      <c r="H505">
        <f t="shared" si="7"/>
        <v>-9.0557764170120288E-3</v>
      </c>
    </row>
    <row r="506" spans="1:8" x14ac:dyDescent="0.3">
      <c r="A506" s="5">
        <v>42738</v>
      </c>
      <c r="B506" s="6">
        <v>5425.6201170000004</v>
      </c>
      <c r="C506" s="6">
        <v>5452.5698240000002</v>
      </c>
      <c r="D506" s="6">
        <v>5397.9902339999999</v>
      </c>
      <c r="E506" s="6">
        <v>5429.080078</v>
      </c>
      <c r="F506" s="6">
        <v>5429.080078</v>
      </c>
      <c r="G506" s="4">
        <v>1886200000</v>
      </c>
      <c r="H506">
        <f t="shared" si="7"/>
        <v>8.5015513936203373E-3</v>
      </c>
    </row>
    <row r="507" spans="1:8" x14ac:dyDescent="0.3">
      <c r="A507" s="5">
        <v>42739</v>
      </c>
      <c r="B507" s="6">
        <v>5440.9101559999999</v>
      </c>
      <c r="C507" s="6">
        <v>5482.3500979999999</v>
      </c>
      <c r="D507" s="6">
        <v>5440.2402339999999</v>
      </c>
      <c r="E507" s="6">
        <v>5477</v>
      </c>
      <c r="F507" s="6">
        <v>5477</v>
      </c>
      <c r="G507" s="4">
        <v>1883360000</v>
      </c>
      <c r="H507">
        <f t="shared" si="7"/>
        <v>8.7878009410021531E-3</v>
      </c>
    </row>
    <row r="508" spans="1:8" x14ac:dyDescent="0.3">
      <c r="A508" s="5">
        <v>42740</v>
      </c>
      <c r="B508" s="6">
        <v>5474.3901370000003</v>
      </c>
      <c r="C508" s="6">
        <v>5495.8500979999999</v>
      </c>
      <c r="D508" s="6">
        <v>5464.3598629999997</v>
      </c>
      <c r="E508" s="6">
        <v>5487.9399409999996</v>
      </c>
      <c r="F508" s="6">
        <v>5487.9399409999996</v>
      </c>
      <c r="G508" s="4">
        <v>1792610000</v>
      </c>
      <c r="H508">
        <f t="shared" si="7"/>
        <v>1.9954408667817243E-3</v>
      </c>
    </row>
    <row r="509" spans="1:8" x14ac:dyDescent="0.3">
      <c r="A509" s="5">
        <v>42741</v>
      </c>
      <c r="B509" s="6">
        <v>5499.080078</v>
      </c>
      <c r="C509" s="6">
        <v>5536.5200199999999</v>
      </c>
      <c r="D509" s="6">
        <v>5482.8100590000004</v>
      </c>
      <c r="E509" s="6">
        <v>5521.0600590000004</v>
      </c>
      <c r="F509" s="6">
        <v>5521.0600590000004</v>
      </c>
      <c r="G509" s="4">
        <v>1710770000</v>
      </c>
      <c r="H509">
        <f t="shared" si="7"/>
        <v>6.0169348572932501E-3</v>
      </c>
    </row>
    <row r="510" spans="1:8" x14ac:dyDescent="0.3">
      <c r="A510" s="5">
        <v>42744</v>
      </c>
      <c r="B510" s="6">
        <v>5527.580078</v>
      </c>
      <c r="C510" s="6">
        <v>5541.080078</v>
      </c>
      <c r="D510" s="6">
        <v>5517.1401370000003</v>
      </c>
      <c r="E510" s="6">
        <v>5531.8198240000002</v>
      </c>
      <c r="F510" s="6">
        <v>5531.8198240000002</v>
      </c>
      <c r="G510" s="4">
        <v>1885500000</v>
      </c>
      <c r="H510">
        <f t="shared" si="7"/>
        <v>1.9469619705961558E-3</v>
      </c>
    </row>
    <row r="511" spans="1:8" x14ac:dyDescent="0.3">
      <c r="A511" s="5">
        <v>42745</v>
      </c>
      <c r="B511" s="6">
        <v>5536.5400390000004</v>
      </c>
      <c r="C511" s="6">
        <v>5564.25</v>
      </c>
      <c r="D511" s="6">
        <v>5528.1098629999997</v>
      </c>
      <c r="E511" s="6">
        <v>5551.8198240000002</v>
      </c>
      <c r="F511" s="6">
        <v>5551.8198240000002</v>
      </c>
      <c r="G511" s="4">
        <v>1796500000</v>
      </c>
      <c r="H511">
        <f t="shared" si="7"/>
        <v>3.6089267320881216E-3</v>
      </c>
    </row>
    <row r="512" spans="1:8" x14ac:dyDescent="0.3">
      <c r="A512" s="5">
        <v>42746</v>
      </c>
      <c r="B512" s="6">
        <v>5550.7202150000003</v>
      </c>
      <c r="C512" s="6">
        <v>5564.080078</v>
      </c>
      <c r="D512" s="6">
        <v>5524.0297849999997</v>
      </c>
      <c r="E512" s="6">
        <v>5563.6499020000001</v>
      </c>
      <c r="F512" s="6">
        <v>5563.6499020000001</v>
      </c>
      <c r="G512" s="4">
        <v>1954720000</v>
      </c>
      <c r="H512">
        <f t="shared" si="7"/>
        <v>2.1285798546187883E-3</v>
      </c>
    </row>
    <row r="513" spans="1:8" x14ac:dyDescent="0.3">
      <c r="A513" s="5">
        <v>42747</v>
      </c>
      <c r="B513" s="6">
        <v>5542.5600590000004</v>
      </c>
      <c r="C513" s="6">
        <v>5550.669922</v>
      </c>
      <c r="D513" s="6">
        <v>5496.8198240000002</v>
      </c>
      <c r="E513" s="6">
        <v>5547.4902339999999</v>
      </c>
      <c r="F513" s="6">
        <v>5547.4902339999999</v>
      </c>
      <c r="G513" s="4">
        <v>1801750000</v>
      </c>
      <c r="H513">
        <f t="shared" si="7"/>
        <v>-2.9087346925272734E-3</v>
      </c>
    </row>
    <row r="514" spans="1:8" x14ac:dyDescent="0.3">
      <c r="A514" s="5">
        <v>42748</v>
      </c>
      <c r="B514" s="6">
        <v>5557.5698240000002</v>
      </c>
      <c r="C514" s="6">
        <v>5584.2597660000001</v>
      </c>
      <c r="D514" s="6">
        <v>5557.2001950000003</v>
      </c>
      <c r="E514" s="6">
        <v>5574.1201170000004</v>
      </c>
      <c r="F514" s="6">
        <v>5574.1201170000004</v>
      </c>
      <c r="G514" s="4">
        <v>1605110000</v>
      </c>
      <c r="H514">
        <f t="shared" si="7"/>
        <v>4.7888629527421825E-3</v>
      </c>
    </row>
    <row r="515" spans="1:8" x14ac:dyDescent="0.3">
      <c r="A515" s="5">
        <v>42752</v>
      </c>
      <c r="B515" s="6">
        <v>5555.1601559999999</v>
      </c>
      <c r="C515" s="6">
        <v>5557.0498049999997</v>
      </c>
      <c r="D515" s="6">
        <v>5527.2202150000003</v>
      </c>
      <c r="E515" s="6">
        <v>5538.7299800000001</v>
      </c>
      <c r="F515" s="6">
        <v>5538.7299800000001</v>
      </c>
      <c r="G515" s="4">
        <v>1757030000</v>
      </c>
      <c r="H515">
        <f t="shared" si="7"/>
        <v>-6.3692493521127066E-3</v>
      </c>
    </row>
    <row r="516" spans="1:8" x14ac:dyDescent="0.3">
      <c r="A516" s="5">
        <v>42753</v>
      </c>
      <c r="B516" s="6">
        <v>5546.9399409999996</v>
      </c>
      <c r="C516" s="6">
        <v>5555.9799800000001</v>
      </c>
      <c r="D516" s="6">
        <v>5534.7700199999999</v>
      </c>
      <c r="E516" s="6">
        <v>5555.6499020000001</v>
      </c>
      <c r="F516" s="6">
        <v>5555.6499020000001</v>
      </c>
      <c r="G516" s="4">
        <v>1683320000</v>
      </c>
      <c r="H516">
        <f t="shared" ref="H516:H579" si="8">LN(E516/E515)</f>
        <v>3.0501813166634718E-3</v>
      </c>
    </row>
    <row r="517" spans="1:8" x14ac:dyDescent="0.3">
      <c r="A517" s="5">
        <v>42754</v>
      </c>
      <c r="B517" s="6">
        <v>5560.6098629999997</v>
      </c>
      <c r="C517" s="6">
        <v>5571.5297849999997</v>
      </c>
      <c r="D517" s="6">
        <v>5528.3701170000004</v>
      </c>
      <c r="E517" s="6">
        <v>5540.080078</v>
      </c>
      <c r="F517" s="6">
        <v>5540.080078</v>
      </c>
      <c r="G517" s="4">
        <v>1805710000</v>
      </c>
      <c r="H517">
        <f t="shared" si="8"/>
        <v>-2.8064551403657167E-3</v>
      </c>
    </row>
    <row r="518" spans="1:8" x14ac:dyDescent="0.3">
      <c r="A518" s="5">
        <v>42755</v>
      </c>
      <c r="B518" s="6">
        <v>5556.8701170000004</v>
      </c>
      <c r="C518" s="6">
        <v>5574.3500979999999</v>
      </c>
      <c r="D518" s="6">
        <v>5542.2299800000001</v>
      </c>
      <c r="E518" s="6">
        <v>5555.330078</v>
      </c>
      <c r="F518" s="6">
        <v>5555.330078</v>
      </c>
      <c r="G518" s="4">
        <v>1740320000</v>
      </c>
      <c r="H518">
        <f t="shared" si="8"/>
        <v>2.7488861409319808E-3</v>
      </c>
    </row>
    <row r="519" spans="1:8" x14ac:dyDescent="0.3">
      <c r="A519" s="5">
        <v>42758</v>
      </c>
      <c r="B519" s="6">
        <v>5546.6401370000003</v>
      </c>
      <c r="C519" s="6">
        <v>5564.1401370000003</v>
      </c>
      <c r="D519" s="6">
        <v>5522.6899409999996</v>
      </c>
      <c r="E519" s="6">
        <v>5552.9399409999996</v>
      </c>
      <c r="F519" s="6">
        <v>5552.9399409999996</v>
      </c>
      <c r="G519" s="4">
        <v>1650290000</v>
      </c>
      <c r="H519">
        <f t="shared" si="8"/>
        <v>-4.3033470248692507E-4</v>
      </c>
    </row>
    <row r="520" spans="1:8" x14ac:dyDescent="0.3">
      <c r="A520" s="5">
        <v>42759</v>
      </c>
      <c r="B520" s="6">
        <v>5568.2700199999999</v>
      </c>
      <c r="C520" s="6">
        <v>5606.5297849999997</v>
      </c>
      <c r="D520" s="6">
        <v>5558.4902339999999</v>
      </c>
      <c r="E520" s="6">
        <v>5600.9599609999996</v>
      </c>
      <c r="F520" s="6">
        <v>5600.9599609999996</v>
      </c>
      <c r="G520" s="4">
        <v>1805370000</v>
      </c>
      <c r="H520">
        <f t="shared" si="8"/>
        <v>8.6104980514341723E-3</v>
      </c>
    </row>
    <row r="521" spans="1:8" x14ac:dyDescent="0.3">
      <c r="A521" s="5">
        <v>42760</v>
      </c>
      <c r="B521" s="6">
        <v>5635.8598629999997</v>
      </c>
      <c r="C521" s="6">
        <v>5658.5898440000001</v>
      </c>
      <c r="D521" s="6">
        <v>5634.330078</v>
      </c>
      <c r="E521" s="6">
        <v>5656.3398440000001</v>
      </c>
      <c r="F521" s="6">
        <v>5656.3398440000001</v>
      </c>
      <c r="G521" s="4">
        <v>1959950000</v>
      </c>
      <c r="H521">
        <f t="shared" si="8"/>
        <v>9.8390077048074297E-3</v>
      </c>
    </row>
    <row r="522" spans="1:8" x14ac:dyDescent="0.3">
      <c r="A522" s="5">
        <v>42761</v>
      </c>
      <c r="B522" s="6">
        <v>5666.2797849999997</v>
      </c>
      <c r="C522" s="6">
        <v>5669.6098629999997</v>
      </c>
      <c r="D522" s="6">
        <v>5647.6499020000001</v>
      </c>
      <c r="E522" s="6">
        <v>5655.1801759999998</v>
      </c>
      <c r="F522" s="6">
        <v>5655.1801759999998</v>
      </c>
      <c r="G522" s="4">
        <v>1827490000</v>
      </c>
      <c r="H522">
        <f t="shared" si="8"/>
        <v>-2.0504193990067142E-4</v>
      </c>
    </row>
    <row r="523" spans="1:8" x14ac:dyDescent="0.3">
      <c r="A523" s="5">
        <v>42762</v>
      </c>
      <c r="B523" s="6">
        <v>5664.8798829999996</v>
      </c>
      <c r="C523" s="6">
        <v>5667.4501950000003</v>
      </c>
      <c r="D523" s="6">
        <v>5643.8999020000001</v>
      </c>
      <c r="E523" s="6">
        <v>5660.7797849999997</v>
      </c>
      <c r="F523" s="6">
        <v>5660.7797849999997</v>
      </c>
      <c r="G523" s="4">
        <v>1663400000</v>
      </c>
      <c r="H523">
        <f t="shared" si="8"/>
        <v>9.8968350477623718E-4</v>
      </c>
    </row>
    <row r="524" spans="1:8" x14ac:dyDescent="0.3">
      <c r="A524" s="5">
        <v>42765</v>
      </c>
      <c r="B524" s="6">
        <v>5635.8598629999997</v>
      </c>
      <c r="C524" s="6">
        <v>5636.0898440000001</v>
      </c>
      <c r="D524" s="6">
        <v>5578.7597660000001</v>
      </c>
      <c r="E524" s="6">
        <v>5613.7099609999996</v>
      </c>
      <c r="F524" s="6">
        <v>5613.7099609999996</v>
      </c>
      <c r="G524" s="4">
        <v>1777090000</v>
      </c>
      <c r="H524">
        <f t="shared" si="8"/>
        <v>-8.3498408416115451E-3</v>
      </c>
    </row>
    <row r="525" spans="1:8" x14ac:dyDescent="0.3">
      <c r="A525" s="5">
        <v>42766</v>
      </c>
      <c r="B525" s="6">
        <v>5592.8701170000004</v>
      </c>
      <c r="C525" s="6">
        <v>5615.1499020000001</v>
      </c>
      <c r="D525" s="6">
        <v>5576.0898440000001</v>
      </c>
      <c r="E525" s="6">
        <v>5614.7900390000004</v>
      </c>
      <c r="F525" s="6">
        <v>5614.7900390000004</v>
      </c>
      <c r="G525" s="4">
        <v>2041480000</v>
      </c>
      <c r="H525">
        <f t="shared" si="8"/>
        <v>1.9238152973818416E-4</v>
      </c>
    </row>
    <row r="526" spans="1:8" x14ac:dyDescent="0.3">
      <c r="A526" s="5">
        <v>42767</v>
      </c>
      <c r="B526" s="6">
        <v>5654.5097660000001</v>
      </c>
      <c r="C526" s="6">
        <v>5662.1098629999997</v>
      </c>
      <c r="D526" s="6">
        <v>5621.0297849999997</v>
      </c>
      <c r="E526" s="6">
        <v>5642.6499020000001</v>
      </c>
      <c r="F526" s="6">
        <v>5642.6499020000001</v>
      </c>
      <c r="G526" s="4">
        <v>2223560000</v>
      </c>
      <c r="H526">
        <f t="shared" si="8"/>
        <v>4.9496013344392919E-3</v>
      </c>
    </row>
    <row r="527" spans="1:8" x14ac:dyDescent="0.3">
      <c r="A527" s="5">
        <v>42768</v>
      </c>
      <c r="B527" s="6">
        <v>5627.1499020000001</v>
      </c>
      <c r="C527" s="6">
        <v>5656.0097660000001</v>
      </c>
      <c r="D527" s="6">
        <v>5616.3999020000001</v>
      </c>
      <c r="E527" s="6">
        <v>5636.2001950000003</v>
      </c>
      <c r="F527" s="6">
        <v>5636.2001950000003</v>
      </c>
      <c r="G527" s="4">
        <v>2073980000</v>
      </c>
      <c r="H527">
        <f t="shared" si="8"/>
        <v>-1.1436817844999664E-3</v>
      </c>
    </row>
    <row r="528" spans="1:8" x14ac:dyDescent="0.3">
      <c r="A528" s="5">
        <v>42769</v>
      </c>
      <c r="B528" s="6">
        <v>5650.7299800000001</v>
      </c>
      <c r="C528" s="6">
        <v>5666.8398440000001</v>
      </c>
      <c r="D528" s="6">
        <v>5647.580078</v>
      </c>
      <c r="E528" s="6">
        <v>5666.7700199999999</v>
      </c>
      <c r="F528" s="6">
        <v>5666.7700199999999</v>
      </c>
      <c r="G528" s="4">
        <v>1786860000</v>
      </c>
      <c r="H528">
        <f t="shared" si="8"/>
        <v>5.4091798803199594E-3</v>
      </c>
    </row>
    <row r="529" spans="1:8" x14ac:dyDescent="0.3">
      <c r="A529" s="5">
        <v>42772</v>
      </c>
      <c r="B529" s="6">
        <v>5656.9501950000003</v>
      </c>
      <c r="C529" s="6">
        <v>5668.2001950000003</v>
      </c>
      <c r="D529" s="6">
        <v>5650.2597660000001</v>
      </c>
      <c r="E529" s="6">
        <v>5663.5498049999997</v>
      </c>
      <c r="F529" s="6">
        <v>5663.5498049999997</v>
      </c>
      <c r="G529" s="4">
        <v>1732280000</v>
      </c>
      <c r="H529">
        <f t="shared" si="8"/>
        <v>-5.6842439338758975E-4</v>
      </c>
    </row>
    <row r="530" spans="1:8" x14ac:dyDescent="0.3">
      <c r="A530" s="5">
        <v>42773</v>
      </c>
      <c r="B530" s="6">
        <v>5674.8598629999997</v>
      </c>
      <c r="C530" s="6">
        <v>5689.6000979999999</v>
      </c>
      <c r="D530" s="6">
        <v>5664.8198240000002</v>
      </c>
      <c r="E530" s="6">
        <v>5674.2202150000003</v>
      </c>
      <c r="F530" s="6">
        <v>5674.2202150000003</v>
      </c>
      <c r="G530" s="4">
        <v>1919100000</v>
      </c>
      <c r="H530">
        <f t="shared" si="8"/>
        <v>1.8822772258719847E-3</v>
      </c>
    </row>
    <row r="531" spans="1:8" x14ac:dyDescent="0.3">
      <c r="A531" s="5">
        <v>42774</v>
      </c>
      <c r="B531" s="6">
        <v>5662.9501950000003</v>
      </c>
      <c r="C531" s="6">
        <v>5686.9599609999996</v>
      </c>
      <c r="D531" s="6">
        <v>5649.3901370000003</v>
      </c>
      <c r="E531" s="6">
        <v>5682.4501950000003</v>
      </c>
      <c r="F531" s="6">
        <v>5682.4501950000003</v>
      </c>
      <c r="G531" s="4">
        <v>1945060000</v>
      </c>
      <c r="H531">
        <f t="shared" si="8"/>
        <v>1.4493652001121742E-3</v>
      </c>
    </row>
    <row r="532" spans="1:8" x14ac:dyDescent="0.3">
      <c r="A532" s="5">
        <v>42775</v>
      </c>
      <c r="B532" s="6">
        <v>5688.0200199999999</v>
      </c>
      <c r="C532" s="6">
        <v>5722.7099609999996</v>
      </c>
      <c r="D532" s="6">
        <v>5685.1499020000001</v>
      </c>
      <c r="E532" s="6">
        <v>5715.1801759999998</v>
      </c>
      <c r="F532" s="6">
        <v>5715.1801759999998</v>
      </c>
      <c r="G532" s="4">
        <v>1943840000</v>
      </c>
      <c r="H532">
        <f t="shared" si="8"/>
        <v>5.7433115310483842E-3</v>
      </c>
    </row>
    <row r="533" spans="1:8" x14ac:dyDescent="0.3">
      <c r="A533" s="5">
        <v>42776</v>
      </c>
      <c r="B533" s="6">
        <v>5726.169922</v>
      </c>
      <c r="C533" s="6">
        <v>5743.4301759999998</v>
      </c>
      <c r="D533" s="6">
        <v>5717.419922</v>
      </c>
      <c r="E533" s="6">
        <v>5734.1298829999996</v>
      </c>
      <c r="F533" s="6">
        <v>5734.1298829999996</v>
      </c>
      <c r="G533" s="4">
        <v>1852010000</v>
      </c>
      <c r="H533">
        <f t="shared" si="8"/>
        <v>3.310194973430677E-3</v>
      </c>
    </row>
    <row r="534" spans="1:8" x14ac:dyDescent="0.3">
      <c r="A534" s="5">
        <v>42779</v>
      </c>
      <c r="B534" s="6">
        <v>5753.1899409999996</v>
      </c>
      <c r="C534" s="6">
        <v>5770.9902339999999</v>
      </c>
      <c r="D534" s="6">
        <v>5751.919922</v>
      </c>
      <c r="E534" s="6">
        <v>5763.9599609999996</v>
      </c>
      <c r="F534" s="6">
        <v>5763.9599609999996</v>
      </c>
      <c r="G534" s="4">
        <v>1840010000</v>
      </c>
      <c r="H534">
        <f t="shared" si="8"/>
        <v>5.1887131393681266E-3</v>
      </c>
    </row>
    <row r="535" spans="1:8" x14ac:dyDescent="0.3">
      <c r="A535" s="5">
        <v>42780</v>
      </c>
      <c r="B535" s="6">
        <v>5756.5097660000001</v>
      </c>
      <c r="C535" s="6">
        <v>5783.0898440000001</v>
      </c>
      <c r="D535" s="6">
        <v>5748.7402339999999</v>
      </c>
      <c r="E535" s="6">
        <v>5782.5698240000002</v>
      </c>
      <c r="F535" s="6">
        <v>5782.5698240000002</v>
      </c>
      <c r="G535" s="4">
        <v>1945160000</v>
      </c>
      <c r="H535">
        <f t="shared" si="8"/>
        <v>3.2234583828421805E-3</v>
      </c>
    </row>
    <row r="536" spans="1:8" x14ac:dyDescent="0.3">
      <c r="A536" s="5">
        <v>42781</v>
      </c>
      <c r="B536" s="6">
        <v>5777.8999020000001</v>
      </c>
      <c r="C536" s="6">
        <v>5821.9501950000003</v>
      </c>
      <c r="D536" s="6">
        <v>5776.7001950000003</v>
      </c>
      <c r="E536" s="6">
        <v>5819.4399409999996</v>
      </c>
      <c r="F536" s="6">
        <v>5819.4399409999996</v>
      </c>
      <c r="G536" s="4">
        <v>2083660000</v>
      </c>
      <c r="H536">
        <f t="shared" si="8"/>
        <v>6.3558369396111217E-3</v>
      </c>
    </row>
    <row r="537" spans="1:8" x14ac:dyDescent="0.3">
      <c r="A537" s="5">
        <v>42782</v>
      </c>
      <c r="B537" s="6">
        <v>5823.0097660000001</v>
      </c>
      <c r="C537" s="6">
        <v>5835.1499020000001</v>
      </c>
      <c r="D537" s="6">
        <v>5796.7099609999996</v>
      </c>
      <c r="E537" s="6">
        <v>5814.8999020000001</v>
      </c>
      <c r="F537" s="6">
        <v>5814.8999020000001</v>
      </c>
      <c r="G537" s="4">
        <v>1943600000</v>
      </c>
      <c r="H537">
        <f t="shared" si="8"/>
        <v>-7.8045497926208351E-4</v>
      </c>
    </row>
    <row r="538" spans="1:8" x14ac:dyDescent="0.3">
      <c r="A538" s="5">
        <v>42783</v>
      </c>
      <c r="B538" s="6">
        <v>5807.3100590000004</v>
      </c>
      <c r="C538" s="6">
        <v>5838.580078</v>
      </c>
      <c r="D538" s="6">
        <v>5800.7998049999997</v>
      </c>
      <c r="E538" s="6">
        <v>5838.580078</v>
      </c>
      <c r="F538" s="6">
        <v>5838.580078</v>
      </c>
      <c r="G538" s="4">
        <v>1875580000</v>
      </c>
      <c r="H538">
        <f t="shared" si="8"/>
        <v>4.0640578837505253E-3</v>
      </c>
    </row>
    <row r="539" spans="1:8" x14ac:dyDescent="0.3">
      <c r="A539" s="5">
        <v>42787</v>
      </c>
      <c r="B539" s="6">
        <v>5850.2001950000003</v>
      </c>
      <c r="C539" s="6">
        <v>5867.8901370000003</v>
      </c>
      <c r="D539" s="6">
        <v>5847.5</v>
      </c>
      <c r="E539" s="6">
        <v>5865.9501950000003</v>
      </c>
      <c r="F539" s="6">
        <v>5865.9501950000003</v>
      </c>
      <c r="G539" s="4">
        <v>1935110000</v>
      </c>
      <c r="H539">
        <f t="shared" si="8"/>
        <v>4.6768501170583142E-3</v>
      </c>
    </row>
    <row r="540" spans="1:8" x14ac:dyDescent="0.3">
      <c r="A540" s="5">
        <v>42788</v>
      </c>
      <c r="B540" s="6">
        <v>5857.5600590000004</v>
      </c>
      <c r="C540" s="6">
        <v>5864.419922</v>
      </c>
      <c r="D540" s="6">
        <v>5848.2797849999997</v>
      </c>
      <c r="E540" s="6">
        <v>5860.6298829999996</v>
      </c>
      <c r="F540" s="6">
        <v>5860.6298829999996</v>
      </c>
      <c r="G540" s="4">
        <v>1872330000</v>
      </c>
      <c r="H540">
        <f t="shared" si="8"/>
        <v>-9.0739368676257155E-4</v>
      </c>
    </row>
    <row r="541" spans="1:8" x14ac:dyDescent="0.3">
      <c r="A541" s="5">
        <v>42789</v>
      </c>
      <c r="B541" s="6">
        <v>5866.8198240000002</v>
      </c>
      <c r="C541" s="6">
        <v>5866.9599609999996</v>
      </c>
      <c r="D541" s="6">
        <v>5809.5498049999997</v>
      </c>
      <c r="E541" s="6">
        <v>5835.5097660000001</v>
      </c>
      <c r="F541" s="6">
        <v>5835.5097660000001</v>
      </c>
      <c r="G541" s="4">
        <v>1879670000</v>
      </c>
      <c r="H541">
        <f t="shared" si="8"/>
        <v>-4.2954609602967719E-3</v>
      </c>
    </row>
    <row r="542" spans="1:8" x14ac:dyDescent="0.3">
      <c r="A542" s="5">
        <v>42790</v>
      </c>
      <c r="B542" s="6">
        <v>5802.330078</v>
      </c>
      <c r="C542" s="6">
        <v>5845.3100590000004</v>
      </c>
      <c r="D542" s="6">
        <v>5800.5498049999997</v>
      </c>
      <c r="E542" s="6">
        <v>5845.3100590000004</v>
      </c>
      <c r="F542" s="6">
        <v>5845.3100590000004</v>
      </c>
      <c r="G542" s="4">
        <v>1683280000</v>
      </c>
      <c r="H542">
        <f t="shared" si="8"/>
        <v>1.678014976073793E-3</v>
      </c>
    </row>
    <row r="543" spans="1:8" x14ac:dyDescent="0.3">
      <c r="A543" s="5">
        <v>42793</v>
      </c>
      <c r="B543" s="6">
        <v>5835.0400390000004</v>
      </c>
      <c r="C543" s="6">
        <v>5861.8999020000001</v>
      </c>
      <c r="D543" s="6">
        <v>5827</v>
      </c>
      <c r="E543" s="6">
        <v>5861.8999020000001</v>
      </c>
      <c r="F543" s="6">
        <v>5861.8999020000001</v>
      </c>
      <c r="G543" s="4">
        <v>1876090000</v>
      </c>
      <c r="H543">
        <f t="shared" si="8"/>
        <v>2.8341260060717422E-3</v>
      </c>
    </row>
    <row r="544" spans="1:8" x14ac:dyDescent="0.3">
      <c r="A544" s="5">
        <v>42794</v>
      </c>
      <c r="B544" s="6">
        <v>5852.7900390000004</v>
      </c>
      <c r="C544" s="6">
        <v>5855.0698240000002</v>
      </c>
      <c r="D544" s="6">
        <v>5817.2202150000003</v>
      </c>
      <c r="E544" s="6">
        <v>5825.4399409999996</v>
      </c>
      <c r="F544" s="6">
        <v>5825.4399409999996</v>
      </c>
      <c r="G544" s="4">
        <v>2298380000</v>
      </c>
      <c r="H544">
        <f t="shared" si="8"/>
        <v>-6.2392434491168438E-3</v>
      </c>
    </row>
    <row r="545" spans="1:8" x14ac:dyDescent="0.3">
      <c r="A545" s="5">
        <v>42795</v>
      </c>
      <c r="B545" s="6">
        <v>5874.8598629999997</v>
      </c>
      <c r="C545" s="6">
        <v>5911.7900390000004</v>
      </c>
      <c r="D545" s="6">
        <v>5865.7900390000004</v>
      </c>
      <c r="E545" s="6">
        <v>5904.0297849999997</v>
      </c>
      <c r="F545" s="6">
        <v>5904.0297849999997</v>
      </c>
      <c r="G545" s="4">
        <v>2210360000</v>
      </c>
      <c r="H545">
        <f t="shared" si="8"/>
        <v>1.340060921854562E-2</v>
      </c>
    </row>
    <row r="546" spans="1:8" x14ac:dyDescent="0.3">
      <c r="A546" s="5">
        <v>42796</v>
      </c>
      <c r="B546" s="6">
        <v>5897.0097660000001</v>
      </c>
      <c r="C546" s="6">
        <v>5897.0097660000001</v>
      </c>
      <c r="D546" s="6">
        <v>5856.2998049999997</v>
      </c>
      <c r="E546" s="6">
        <v>5861.2202150000003</v>
      </c>
      <c r="F546" s="6">
        <v>5861.2202150000003</v>
      </c>
      <c r="G546" s="4">
        <v>2040770000</v>
      </c>
      <c r="H546">
        <f t="shared" si="8"/>
        <v>-7.2773224420514364E-3</v>
      </c>
    </row>
    <row r="547" spans="1:8" x14ac:dyDescent="0.3">
      <c r="A547" s="5">
        <v>42797</v>
      </c>
      <c r="B547" s="6">
        <v>5854.2700199999999</v>
      </c>
      <c r="C547" s="6">
        <v>5870.75</v>
      </c>
      <c r="D547" s="6">
        <v>5841.4702150000003</v>
      </c>
      <c r="E547" s="6">
        <v>5870.75</v>
      </c>
      <c r="F547" s="6">
        <v>5870.75</v>
      </c>
      <c r="G547" s="4">
        <v>1852130000</v>
      </c>
      <c r="H547">
        <f t="shared" si="8"/>
        <v>1.6245842635691599E-3</v>
      </c>
    </row>
    <row r="548" spans="1:8" x14ac:dyDescent="0.3">
      <c r="A548" s="5">
        <v>42800</v>
      </c>
      <c r="B548" s="6">
        <v>5846.419922</v>
      </c>
      <c r="C548" s="6">
        <v>5857.7402339999999</v>
      </c>
      <c r="D548" s="6">
        <v>5827.4599609999996</v>
      </c>
      <c r="E548" s="6">
        <v>5849.1801759999998</v>
      </c>
      <c r="F548" s="6">
        <v>5849.1801759999998</v>
      </c>
      <c r="G548" s="4">
        <v>1767840000</v>
      </c>
      <c r="H548">
        <f t="shared" si="8"/>
        <v>-3.6808834233704579E-3</v>
      </c>
    </row>
    <row r="549" spans="1:8" x14ac:dyDescent="0.3">
      <c r="A549" s="5">
        <v>42801</v>
      </c>
      <c r="B549" s="6">
        <v>5836.1201170000004</v>
      </c>
      <c r="C549" s="6">
        <v>5859.7700199999999</v>
      </c>
      <c r="D549" s="6">
        <v>5826.3198240000002</v>
      </c>
      <c r="E549" s="6">
        <v>5833.9301759999998</v>
      </c>
      <c r="F549" s="6">
        <v>5833.9301759999998</v>
      </c>
      <c r="G549" s="4">
        <v>1822000000</v>
      </c>
      <c r="H549">
        <f t="shared" si="8"/>
        <v>-2.6106076552574308E-3</v>
      </c>
    </row>
    <row r="550" spans="1:8" x14ac:dyDescent="0.3">
      <c r="A550" s="5">
        <v>42802</v>
      </c>
      <c r="B550" s="6">
        <v>5838.4399409999996</v>
      </c>
      <c r="C550" s="6">
        <v>5860.6298829999996</v>
      </c>
      <c r="D550" s="6">
        <v>5832.6298829999996</v>
      </c>
      <c r="E550" s="6">
        <v>5837.5498049999997</v>
      </c>
      <c r="F550" s="6">
        <v>5837.5498049999997</v>
      </c>
      <c r="G550" s="4">
        <v>1810480000</v>
      </c>
      <c r="H550">
        <f t="shared" si="8"/>
        <v>6.2025195124093178E-4</v>
      </c>
    </row>
    <row r="551" spans="1:8" x14ac:dyDescent="0.3">
      <c r="A551" s="5">
        <v>42803</v>
      </c>
      <c r="B551" s="6">
        <v>5834.669922</v>
      </c>
      <c r="C551" s="6">
        <v>5852.5400390000004</v>
      </c>
      <c r="D551" s="6">
        <v>5812.080078</v>
      </c>
      <c r="E551" s="6">
        <v>5838.8100590000004</v>
      </c>
      <c r="F551" s="6">
        <v>5838.8100590000004</v>
      </c>
      <c r="G551" s="4">
        <v>1883930000</v>
      </c>
      <c r="H551">
        <f t="shared" si="8"/>
        <v>2.1586419390518229E-4</v>
      </c>
    </row>
    <row r="552" spans="1:8" x14ac:dyDescent="0.3">
      <c r="A552" s="5">
        <v>42804</v>
      </c>
      <c r="B552" s="6">
        <v>5867.1601559999999</v>
      </c>
      <c r="C552" s="6">
        <v>5872.6000979999999</v>
      </c>
      <c r="D552" s="6">
        <v>5835.4399409999996</v>
      </c>
      <c r="E552" s="6">
        <v>5861.7299800000001</v>
      </c>
      <c r="F552" s="6">
        <v>5861.7299800000001</v>
      </c>
      <c r="G552" s="4">
        <v>1982150000</v>
      </c>
      <c r="H552">
        <f t="shared" si="8"/>
        <v>3.9177593922633865E-3</v>
      </c>
    </row>
    <row r="553" spans="1:8" x14ac:dyDescent="0.3">
      <c r="A553" s="5">
        <v>42807</v>
      </c>
      <c r="B553" s="6">
        <v>5863.4799800000001</v>
      </c>
      <c r="C553" s="6">
        <v>5877.4301759999998</v>
      </c>
      <c r="D553" s="6">
        <v>5860.830078</v>
      </c>
      <c r="E553" s="6">
        <v>5875.7797849999997</v>
      </c>
      <c r="F553" s="6">
        <v>5875.7797849999997</v>
      </c>
      <c r="G553" s="4">
        <v>1799340000</v>
      </c>
      <c r="H553">
        <f t="shared" si="8"/>
        <v>2.3940021335931813E-3</v>
      </c>
    </row>
    <row r="554" spans="1:8" x14ac:dyDescent="0.3">
      <c r="A554" s="5">
        <v>42808</v>
      </c>
      <c r="B554" s="6">
        <v>5860.0698240000002</v>
      </c>
      <c r="C554" s="6">
        <v>5860.5</v>
      </c>
      <c r="D554" s="6">
        <v>5831.8798829999996</v>
      </c>
      <c r="E554" s="6">
        <v>5856.8198240000002</v>
      </c>
      <c r="F554" s="6">
        <v>5856.8198240000002</v>
      </c>
      <c r="G554" s="4">
        <v>1663170000</v>
      </c>
      <c r="H554">
        <f t="shared" si="8"/>
        <v>-3.2320164560953346E-3</v>
      </c>
    </row>
    <row r="555" spans="1:8" x14ac:dyDescent="0.3">
      <c r="A555" s="5">
        <v>42809</v>
      </c>
      <c r="B555" s="6">
        <v>5869.9799800000001</v>
      </c>
      <c r="C555" s="6">
        <v>5911.2001950000003</v>
      </c>
      <c r="D555" s="6">
        <v>5858.1601559999999</v>
      </c>
      <c r="E555" s="6">
        <v>5900.0498049999997</v>
      </c>
      <c r="F555" s="6">
        <v>5900.0498049999997</v>
      </c>
      <c r="G555" s="4">
        <v>1952690000</v>
      </c>
      <c r="H555">
        <f t="shared" si="8"/>
        <v>7.3540282734008058E-3</v>
      </c>
    </row>
    <row r="556" spans="1:8" x14ac:dyDescent="0.3">
      <c r="A556" s="5">
        <v>42810</v>
      </c>
      <c r="B556" s="6">
        <v>5907.8598629999997</v>
      </c>
      <c r="C556" s="6">
        <v>5911.4799800000001</v>
      </c>
      <c r="D556" s="6">
        <v>5887.2402339999999</v>
      </c>
      <c r="E556" s="6">
        <v>5900.7597660000001</v>
      </c>
      <c r="F556" s="6">
        <v>5900.7597660000001</v>
      </c>
      <c r="G556" s="4">
        <v>1766980000</v>
      </c>
      <c r="H556">
        <f t="shared" si="8"/>
        <v>1.2032411786419243E-4</v>
      </c>
    </row>
    <row r="557" spans="1:8" x14ac:dyDescent="0.3">
      <c r="A557" s="5">
        <v>42811</v>
      </c>
      <c r="B557" s="6">
        <v>5898.580078</v>
      </c>
      <c r="C557" s="6">
        <v>5912.6098629999997</v>
      </c>
      <c r="D557" s="6">
        <v>5890.419922</v>
      </c>
      <c r="E557" s="6">
        <v>5901</v>
      </c>
      <c r="F557" s="6">
        <v>5901</v>
      </c>
      <c r="G557" s="4">
        <v>3184130000</v>
      </c>
      <c r="H557">
        <f t="shared" si="8"/>
        <v>4.0711555699525929E-5</v>
      </c>
    </row>
    <row r="558" spans="1:8" x14ac:dyDescent="0.3">
      <c r="A558" s="5">
        <v>42814</v>
      </c>
      <c r="B558" s="6">
        <v>5898.8100590000004</v>
      </c>
      <c r="C558" s="6">
        <v>5915.1201170000004</v>
      </c>
      <c r="D558" s="6">
        <v>5888.1201170000004</v>
      </c>
      <c r="E558" s="6">
        <v>5901.5297849999997</v>
      </c>
      <c r="F558" s="6">
        <v>5901.5297849999997</v>
      </c>
      <c r="G558" s="4">
        <v>1730550000</v>
      </c>
      <c r="H558">
        <f t="shared" si="8"/>
        <v>8.9774821162260109E-5</v>
      </c>
    </row>
    <row r="559" spans="1:8" x14ac:dyDescent="0.3">
      <c r="A559" s="5">
        <v>42815</v>
      </c>
      <c r="B559" s="6">
        <v>5923.419922</v>
      </c>
      <c r="C559" s="6">
        <v>5928.0600590000004</v>
      </c>
      <c r="D559" s="6">
        <v>5790.7299800000001</v>
      </c>
      <c r="E559" s="6">
        <v>5793.830078</v>
      </c>
      <c r="F559" s="6">
        <v>5793.830078</v>
      </c>
      <c r="G559" s="4">
        <v>2192090000</v>
      </c>
      <c r="H559">
        <f t="shared" si="8"/>
        <v>-1.8418031214157939E-2</v>
      </c>
    </row>
    <row r="560" spans="1:8" x14ac:dyDescent="0.3">
      <c r="A560" s="5">
        <v>42816</v>
      </c>
      <c r="B560" s="6">
        <v>5790.5898440000001</v>
      </c>
      <c r="C560" s="6">
        <v>5825.669922</v>
      </c>
      <c r="D560" s="6">
        <v>5781.7998049999997</v>
      </c>
      <c r="E560" s="6">
        <v>5821.6401370000003</v>
      </c>
      <c r="F560" s="6">
        <v>5821.6401370000003</v>
      </c>
      <c r="G560" s="4">
        <v>1857680000</v>
      </c>
      <c r="H560">
        <f t="shared" si="8"/>
        <v>4.7884608412949708E-3</v>
      </c>
    </row>
    <row r="561" spans="1:8" x14ac:dyDescent="0.3">
      <c r="A561" s="5">
        <v>42817</v>
      </c>
      <c r="B561" s="6">
        <v>5812.3100590000004</v>
      </c>
      <c r="C561" s="6">
        <v>5842.8198240000002</v>
      </c>
      <c r="D561" s="6">
        <v>5806.9799800000001</v>
      </c>
      <c r="E561" s="6">
        <v>5817.6899409999996</v>
      </c>
      <c r="F561" s="6">
        <v>5817.6899409999996</v>
      </c>
      <c r="G561" s="4">
        <v>1742640000</v>
      </c>
      <c r="H561">
        <f t="shared" si="8"/>
        <v>-6.7876692647965582E-4</v>
      </c>
    </row>
    <row r="562" spans="1:8" x14ac:dyDescent="0.3">
      <c r="A562" s="5">
        <v>42818</v>
      </c>
      <c r="B562" s="6">
        <v>5839.330078</v>
      </c>
      <c r="C562" s="6">
        <v>5858.9501950000003</v>
      </c>
      <c r="D562" s="6">
        <v>5807.830078</v>
      </c>
      <c r="E562" s="6">
        <v>5828.7402339999999</v>
      </c>
      <c r="F562" s="6">
        <v>5828.7402339999999</v>
      </c>
      <c r="G562" s="4">
        <v>1841920000</v>
      </c>
      <c r="H562">
        <f t="shared" si="8"/>
        <v>1.8976280542552027E-3</v>
      </c>
    </row>
    <row r="563" spans="1:8" x14ac:dyDescent="0.3">
      <c r="A563" s="5">
        <v>42821</v>
      </c>
      <c r="B563" s="6">
        <v>5776.330078</v>
      </c>
      <c r="C563" s="6">
        <v>5849.2001950000003</v>
      </c>
      <c r="D563" s="6">
        <v>5769.3901370000003</v>
      </c>
      <c r="E563" s="6">
        <v>5840.3701170000004</v>
      </c>
      <c r="F563" s="6">
        <v>5840.3701170000004</v>
      </c>
      <c r="G563" s="4">
        <v>1670760000</v>
      </c>
      <c r="H563">
        <f t="shared" si="8"/>
        <v>1.9932773794729946E-3</v>
      </c>
    </row>
    <row r="564" spans="1:8" x14ac:dyDescent="0.3">
      <c r="A564" s="5">
        <v>42822</v>
      </c>
      <c r="B564" s="6">
        <v>5836.5</v>
      </c>
      <c r="C564" s="6">
        <v>5888.7001950000003</v>
      </c>
      <c r="D564" s="6">
        <v>5828.8598629999997</v>
      </c>
      <c r="E564" s="6">
        <v>5875.1401370000003</v>
      </c>
      <c r="F564" s="6">
        <v>5875.1401370000003</v>
      </c>
      <c r="G564" s="4">
        <v>1820860000</v>
      </c>
      <c r="H564">
        <f t="shared" si="8"/>
        <v>5.9357418215453886E-3</v>
      </c>
    </row>
    <row r="565" spans="1:8" x14ac:dyDescent="0.3">
      <c r="A565" s="5">
        <v>42823</v>
      </c>
      <c r="B565" s="6">
        <v>5875.3500979999999</v>
      </c>
      <c r="C565" s="6">
        <v>5900.8701170000004</v>
      </c>
      <c r="D565" s="6">
        <v>5870.9301759999998</v>
      </c>
      <c r="E565" s="6">
        <v>5897.5498049999997</v>
      </c>
      <c r="F565" s="6">
        <v>5897.5498049999997</v>
      </c>
      <c r="G565" s="4">
        <v>1718680000</v>
      </c>
      <c r="H565">
        <f t="shared" si="8"/>
        <v>3.8070645157660824E-3</v>
      </c>
    </row>
    <row r="566" spans="1:8" x14ac:dyDescent="0.3">
      <c r="A566" s="5">
        <v>42824</v>
      </c>
      <c r="B566" s="6">
        <v>5896.1499020000001</v>
      </c>
      <c r="C566" s="6">
        <v>5916.7700199999999</v>
      </c>
      <c r="D566" s="6">
        <v>5894</v>
      </c>
      <c r="E566" s="6">
        <v>5914.3398440000001</v>
      </c>
      <c r="F566" s="6">
        <v>5914.3398440000001</v>
      </c>
      <c r="G566" s="4">
        <v>1723770000</v>
      </c>
      <c r="H566">
        <f t="shared" si="8"/>
        <v>2.8429067333316485E-3</v>
      </c>
    </row>
    <row r="567" spans="1:8" x14ac:dyDescent="0.3">
      <c r="A567" s="5">
        <v>42825</v>
      </c>
      <c r="B567" s="6">
        <v>5905.6298829999996</v>
      </c>
      <c r="C567" s="6">
        <v>5927.8100590000004</v>
      </c>
      <c r="D567" s="6">
        <v>5901.7700199999999</v>
      </c>
      <c r="E567" s="6">
        <v>5911.7402339999999</v>
      </c>
      <c r="F567" s="6">
        <v>5911.7402339999999</v>
      </c>
      <c r="G567" s="4">
        <v>1902800000</v>
      </c>
      <c r="H567">
        <f t="shared" si="8"/>
        <v>-4.3964018926411283E-4</v>
      </c>
    </row>
    <row r="568" spans="1:8" x14ac:dyDescent="0.3">
      <c r="A568" s="5">
        <v>42828</v>
      </c>
      <c r="B568" s="6">
        <v>5917.3198240000002</v>
      </c>
      <c r="C568" s="6">
        <v>5928.9301759999998</v>
      </c>
      <c r="D568" s="6">
        <v>5867.7299800000001</v>
      </c>
      <c r="E568" s="6">
        <v>5894.6801759999998</v>
      </c>
      <c r="F568" s="6">
        <v>5894.6801759999998</v>
      </c>
      <c r="G568" s="4">
        <v>1854200000</v>
      </c>
      <c r="H568">
        <f t="shared" si="8"/>
        <v>-2.8899648295095462E-3</v>
      </c>
    </row>
    <row r="569" spans="1:8" x14ac:dyDescent="0.3">
      <c r="A569" s="5">
        <v>42829</v>
      </c>
      <c r="B569" s="6">
        <v>5878.7597660000001</v>
      </c>
      <c r="C569" s="6">
        <v>5901.3901370000003</v>
      </c>
      <c r="D569" s="6">
        <v>5878.7597660000001</v>
      </c>
      <c r="E569" s="6">
        <v>5898.6098629999997</v>
      </c>
      <c r="F569" s="6">
        <v>5898.6098629999997</v>
      </c>
      <c r="G569" s="4">
        <v>1790840000</v>
      </c>
      <c r="H569">
        <f t="shared" si="8"/>
        <v>6.6642762663238729E-4</v>
      </c>
    </row>
    <row r="570" spans="1:8" x14ac:dyDescent="0.3">
      <c r="A570" s="5">
        <v>42830</v>
      </c>
      <c r="B570" s="6">
        <v>5911.919922</v>
      </c>
      <c r="C570" s="6">
        <v>5936.3901370000003</v>
      </c>
      <c r="D570" s="6">
        <v>5856.2597660000001</v>
      </c>
      <c r="E570" s="6">
        <v>5864.4799800000001</v>
      </c>
      <c r="F570" s="6">
        <v>5864.4799800000001</v>
      </c>
      <c r="G570" s="4">
        <v>2204490000</v>
      </c>
      <c r="H570">
        <f t="shared" si="8"/>
        <v>-5.8028934962494616E-3</v>
      </c>
    </row>
    <row r="571" spans="1:8" x14ac:dyDescent="0.3">
      <c r="A571" s="5">
        <v>42831</v>
      </c>
      <c r="B571" s="6">
        <v>5870.5200199999999</v>
      </c>
      <c r="C571" s="6">
        <v>5889.580078</v>
      </c>
      <c r="D571" s="6">
        <v>5856.2202150000003</v>
      </c>
      <c r="E571" s="6">
        <v>5878.9501950000003</v>
      </c>
      <c r="F571" s="6">
        <v>5878.9501950000003</v>
      </c>
      <c r="G571" s="4">
        <v>1845800000</v>
      </c>
      <c r="H571">
        <f t="shared" si="8"/>
        <v>2.4643944925441933E-3</v>
      </c>
    </row>
    <row r="572" spans="1:8" x14ac:dyDescent="0.3">
      <c r="A572" s="5">
        <v>42832</v>
      </c>
      <c r="B572" s="6">
        <v>5873.9399409999996</v>
      </c>
      <c r="C572" s="6">
        <v>5892.0698240000002</v>
      </c>
      <c r="D572" s="6">
        <v>5855.5097660000001</v>
      </c>
      <c r="E572" s="6">
        <v>5877.8100590000004</v>
      </c>
      <c r="F572" s="6">
        <v>5877.8100590000004</v>
      </c>
      <c r="G572" s="4">
        <v>1692150000</v>
      </c>
      <c r="H572">
        <f t="shared" si="8"/>
        <v>-1.93954113028115E-4</v>
      </c>
    </row>
    <row r="573" spans="1:8" x14ac:dyDescent="0.3">
      <c r="A573" s="5">
        <v>42835</v>
      </c>
      <c r="B573" s="6">
        <v>5883.4301759999998</v>
      </c>
      <c r="C573" s="6">
        <v>5907.8500979999999</v>
      </c>
      <c r="D573" s="6">
        <v>5865.5600590000004</v>
      </c>
      <c r="E573" s="6">
        <v>5880.9301759999998</v>
      </c>
      <c r="F573" s="6">
        <v>5880.9301759999998</v>
      </c>
      <c r="G573" s="4">
        <v>1630070000</v>
      </c>
      <c r="H573">
        <f t="shared" si="8"/>
        <v>5.3068900424189317E-4</v>
      </c>
    </row>
    <row r="574" spans="1:8" x14ac:dyDescent="0.3">
      <c r="A574" s="5">
        <v>42836</v>
      </c>
      <c r="B574" s="6">
        <v>5871.1601559999999</v>
      </c>
      <c r="C574" s="6">
        <v>5878.9399409999996</v>
      </c>
      <c r="D574" s="6">
        <v>5819.2900390000004</v>
      </c>
      <c r="E574" s="6">
        <v>5866.7700199999999</v>
      </c>
      <c r="F574" s="6">
        <v>5866.7700199999999</v>
      </c>
      <c r="G574" s="4">
        <v>1821650000</v>
      </c>
      <c r="H574">
        <f t="shared" si="8"/>
        <v>-2.4107123303174056E-3</v>
      </c>
    </row>
    <row r="575" spans="1:8" x14ac:dyDescent="0.3">
      <c r="A575" s="5">
        <v>42837</v>
      </c>
      <c r="B575" s="6">
        <v>5863.5898440000001</v>
      </c>
      <c r="C575" s="6">
        <v>5868.0898440000001</v>
      </c>
      <c r="D575" s="6">
        <v>5830.4399409999996</v>
      </c>
      <c r="E575" s="6">
        <v>5836.1601559999999</v>
      </c>
      <c r="F575" s="6">
        <v>5836.1601559999999</v>
      </c>
      <c r="G575" s="4">
        <v>1658960000</v>
      </c>
      <c r="H575">
        <f t="shared" si="8"/>
        <v>-5.231157213259412E-3</v>
      </c>
    </row>
    <row r="576" spans="1:8" x14ac:dyDescent="0.3">
      <c r="A576" s="5">
        <v>42838</v>
      </c>
      <c r="B576" s="6">
        <v>5828.3701170000004</v>
      </c>
      <c r="C576" s="6">
        <v>5856.5400390000004</v>
      </c>
      <c r="D576" s="6">
        <v>5805.1499020000001</v>
      </c>
      <c r="E576" s="6">
        <v>5805.1499020000001</v>
      </c>
      <c r="F576" s="6">
        <v>5805.1499020000001</v>
      </c>
      <c r="G576" s="4">
        <v>1581870000</v>
      </c>
      <c r="H576">
        <f t="shared" si="8"/>
        <v>-5.3276353252806278E-3</v>
      </c>
    </row>
    <row r="577" spans="1:8" x14ac:dyDescent="0.3">
      <c r="A577" s="5">
        <v>42842</v>
      </c>
      <c r="B577" s="6">
        <v>5821.5498049999997</v>
      </c>
      <c r="C577" s="6">
        <v>5856.7900390000004</v>
      </c>
      <c r="D577" s="6">
        <v>5818.2001950000003</v>
      </c>
      <c r="E577" s="6">
        <v>5856.7900390000004</v>
      </c>
      <c r="F577" s="6">
        <v>5856.7900390000004</v>
      </c>
      <c r="G577" s="4">
        <v>1381290000</v>
      </c>
      <c r="H577">
        <f t="shared" si="8"/>
        <v>8.8562408630240216E-3</v>
      </c>
    </row>
    <row r="578" spans="1:8" x14ac:dyDescent="0.3">
      <c r="A578" s="5">
        <v>42843</v>
      </c>
      <c r="B578" s="6">
        <v>5838.5898440000001</v>
      </c>
      <c r="C578" s="6">
        <v>5860.0400390000004</v>
      </c>
      <c r="D578" s="6">
        <v>5828.5698240000002</v>
      </c>
      <c r="E578" s="6">
        <v>5849.4702150000003</v>
      </c>
      <c r="F578" s="6">
        <v>5849.4702150000003</v>
      </c>
      <c r="G578" s="4">
        <v>1608870000</v>
      </c>
      <c r="H578">
        <f t="shared" si="8"/>
        <v>-1.2505829863965904E-3</v>
      </c>
    </row>
    <row r="579" spans="1:8" x14ac:dyDescent="0.3">
      <c r="A579" s="5">
        <v>42844</v>
      </c>
      <c r="B579" s="6">
        <v>5874.4301759999998</v>
      </c>
      <c r="C579" s="6">
        <v>5894.6801759999998</v>
      </c>
      <c r="D579" s="6">
        <v>5856.3398440000001</v>
      </c>
      <c r="E579" s="6">
        <v>5863.0297849999997</v>
      </c>
      <c r="F579" s="6">
        <v>5863.0297849999997</v>
      </c>
      <c r="G579" s="4">
        <v>1752620000</v>
      </c>
      <c r="H579">
        <f t="shared" si="8"/>
        <v>2.3154025285528242E-3</v>
      </c>
    </row>
    <row r="580" spans="1:8" x14ac:dyDescent="0.3">
      <c r="A580" s="5">
        <v>42845</v>
      </c>
      <c r="B580" s="6">
        <v>5887.8701170000004</v>
      </c>
      <c r="C580" s="6">
        <v>5926.2299800000001</v>
      </c>
      <c r="D580" s="6">
        <v>5880.2001950000003</v>
      </c>
      <c r="E580" s="6">
        <v>5916.7797849999997</v>
      </c>
      <c r="F580" s="6">
        <v>5916.7797849999997</v>
      </c>
      <c r="G580" s="4">
        <v>1749110000</v>
      </c>
      <c r="H580">
        <f t="shared" ref="H580:H643" si="9">LN(E580/E579)</f>
        <v>9.125847529193749E-3</v>
      </c>
    </row>
    <row r="581" spans="1:8" x14ac:dyDescent="0.3">
      <c r="A581" s="5">
        <v>42846</v>
      </c>
      <c r="B581" s="6">
        <v>5919.0200199999999</v>
      </c>
      <c r="C581" s="6">
        <v>5919.2299800000001</v>
      </c>
      <c r="D581" s="6">
        <v>5899.4301759999998</v>
      </c>
      <c r="E581" s="6">
        <v>5910.5200199999999</v>
      </c>
      <c r="F581" s="6">
        <v>5910.5200199999999</v>
      </c>
      <c r="G581" s="4">
        <v>1723210000</v>
      </c>
      <c r="H581">
        <f t="shared" si="9"/>
        <v>-1.0585282672634581E-3</v>
      </c>
    </row>
    <row r="582" spans="1:8" x14ac:dyDescent="0.3">
      <c r="A582" s="5">
        <v>42849</v>
      </c>
      <c r="B582" s="6">
        <v>5979.9599609999996</v>
      </c>
      <c r="C582" s="6">
        <v>5989.919922</v>
      </c>
      <c r="D582" s="6">
        <v>5970.25</v>
      </c>
      <c r="E582" s="6">
        <v>5983.8198240000002</v>
      </c>
      <c r="F582" s="6">
        <v>5983.8198240000002</v>
      </c>
      <c r="G582" s="4">
        <v>1836570000</v>
      </c>
      <c r="H582">
        <f t="shared" si="9"/>
        <v>1.2325313198360754E-2</v>
      </c>
    </row>
    <row r="583" spans="1:8" x14ac:dyDescent="0.3">
      <c r="A583" s="5">
        <v>42850</v>
      </c>
      <c r="B583" s="6">
        <v>6004.1601559999999</v>
      </c>
      <c r="C583" s="6">
        <v>6036.0200199999999</v>
      </c>
      <c r="D583" s="6">
        <v>6002.6499020000001</v>
      </c>
      <c r="E583" s="6">
        <v>6025.4902339999999</v>
      </c>
      <c r="F583" s="6">
        <v>6025.4902339999999</v>
      </c>
      <c r="G583" s="4">
        <v>1895430000</v>
      </c>
      <c r="H583">
        <f t="shared" si="9"/>
        <v>6.9397121124335458E-3</v>
      </c>
    </row>
    <row r="584" spans="1:8" x14ac:dyDescent="0.3">
      <c r="A584" s="5">
        <v>42851</v>
      </c>
      <c r="B584" s="6">
        <v>6028.1201170000004</v>
      </c>
      <c r="C584" s="6">
        <v>6040.8901370000003</v>
      </c>
      <c r="D584" s="6">
        <v>6021.7202150000003</v>
      </c>
      <c r="E584" s="6">
        <v>6025.2299800000001</v>
      </c>
      <c r="F584" s="6">
        <v>6025.2299800000001</v>
      </c>
      <c r="G584" s="4">
        <v>1894210000</v>
      </c>
      <c r="H584">
        <f t="shared" si="9"/>
        <v>-4.3193103054154963E-5</v>
      </c>
    </row>
    <row r="585" spans="1:8" x14ac:dyDescent="0.3">
      <c r="A585" s="5">
        <v>42852</v>
      </c>
      <c r="B585" s="6">
        <v>6038.4702150000003</v>
      </c>
      <c r="C585" s="6">
        <v>6050.7001950000003</v>
      </c>
      <c r="D585" s="6">
        <v>6031.5898440000001</v>
      </c>
      <c r="E585" s="6">
        <v>6048.9399409999996</v>
      </c>
      <c r="F585" s="6">
        <v>6048.9399409999996</v>
      </c>
      <c r="G585" s="4">
        <v>1876700000</v>
      </c>
      <c r="H585">
        <f t="shared" si="9"/>
        <v>3.9273907243501504E-3</v>
      </c>
    </row>
    <row r="586" spans="1:8" x14ac:dyDescent="0.3">
      <c r="A586" s="5">
        <v>42853</v>
      </c>
      <c r="B586" s="6">
        <v>6072.8701170000004</v>
      </c>
      <c r="C586" s="6">
        <v>6074.0400390000004</v>
      </c>
      <c r="D586" s="6">
        <v>6040.7099609999996</v>
      </c>
      <c r="E586" s="6">
        <v>6047.6098629999997</v>
      </c>
      <c r="F586" s="6">
        <v>6047.6098629999997</v>
      </c>
      <c r="G586" s="4">
        <v>1995160000</v>
      </c>
      <c r="H586">
        <f t="shared" si="9"/>
        <v>-2.199103094537303E-4</v>
      </c>
    </row>
    <row r="587" spans="1:8" x14ac:dyDescent="0.3">
      <c r="A587" s="5">
        <v>42856</v>
      </c>
      <c r="B587" s="6">
        <v>6067.5600590000004</v>
      </c>
      <c r="C587" s="6">
        <v>6100.7299800000001</v>
      </c>
      <c r="D587" s="6">
        <v>6061.3500979999999</v>
      </c>
      <c r="E587" s="6">
        <v>6091.6000979999999</v>
      </c>
      <c r="F587" s="6">
        <v>6091.6000979999999</v>
      </c>
      <c r="G587" s="4">
        <v>1757000000</v>
      </c>
      <c r="H587">
        <f t="shared" si="9"/>
        <v>7.2476590656463296E-3</v>
      </c>
    </row>
    <row r="588" spans="1:8" x14ac:dyDescent="0.3">
      <c r="A588" s="5">
        <v>42857</v>
      </c>
      <c r="B588" s="6">
        <v>6102.5097660000001</v>
      </c>
      <c r="C588" s="6">
        <v>6102.7202150000003</v>
      </c>
      <c r="D588" s="6">
        <v>6081.5600590000004</v>
      </c>
      <c r="E588" s="6">
        <v>6095.3701170000004</v>
      </c>
      <c r="F588" s="6">
        <v>6095.3701170000004</v>
      </c>
      <c r="G588" s="4">
        <v>2146730000</v>
      </c>
      <c r="H588">
        <f t="shared" si="9"/>
        <v>6.1869669881020356E-4</v>
      </c>
    </row>
    <row r="589" spans="1:8" x14ac:dyDescent="0.3">
      <c r="A589" s="5">
        <v>42858</v>
      </c>
      <c r="B589" s="6">
        <v>6075.0400390000004</v>
      </c>
      <c r="C589" s="6">
        <v>6076.9599609999996</v>
      </c>
      <c r="D589" s="6">
        <v>6053.2797849999997</v>
      </c>
      <c r="E589" s="6">
        <v>6072.5498049999997</v>
      </c>
      <c r="F589" s="6">
        <v>6072.5498049999997</v>
      </c>
      <c r="G589" s="4">
        <v>2149360000</v>
      </c>
      <c r="H589">
        <f t="shared" si="9"/>
        <v>-3.7509021922731214E-3</v>
      </c>
    </row>
    <row r="590" spans="1:8" x14ac:dyDescent="0.3">
      <c r="A590" s="5">
        <v>42859</v>
      </c>
      <c r="B590" s="6">
        <v>6075.0600590000004</v>
      </c>
      <c r="C590" s="6">
        <v>6080.8198240000002</v>
      </c>
      <c r="D590" s="6">
        <v>6054.330078</v>
      </c>
      <c r="E590" s="6">
        <v>6075.3398440000001</v>
      </c>
      <c r="F590" s="6">
        <v>6075.3398440000001</v>
      </c>
      <c r="G590" s="4">
        <v>2056270000</v>
      </c>
      <c r="H590">
        <f t="shared" si="9"/>
        <v>4.5934547146437145E-4</v>
      </c>
    </row>
    <row r="591" spans="1:8" x14ac:dyDescent="0.3">
      <c r="A591" s="5">
        <v>42860</v>
      </c>
      <c r="B591" s="6">
        <v>6091.6899409999996</v>
      </c>
      <c r="C591" s="6">
        <v>6100.7597660000001</v>
      </c>
      <c r="D591" s="6">
        <v>6067.1601559999999</v>
      </c>
      <c r="E591" s="6">
        <v>6100.7597660000001</v>
      </c>
      <c r="F591" s="6">
        <v>6100.7597660000001</v>
      </c>
      <c r="G591" s="4">
        <v>1899570000</v>
      </c>
      <c r="H591">
        <f t="shared" si="9"/>
        <v>4.1753861654850082E-3</v>
      </c>
    </row>
    <row r="592" spans="1:8" x14ac:dyDescent="0.3">
      <c r="A592" s="5">
        <v>42863</v>
      </c>
      <c r="B592" s="6">
        <v>6100.6601559999999</v>
      </c>
      <c r="C592" s="6">
        <v>6106.1201170000004</v>
      </c>
      <c r="D592" s="6">
        <v>6083.0600590000004</v>
      </c>
      <c r="E592" s="6">
        <v>6102.6601559999999</v>
      </c>
      <c r="F592" s="6">
        <v>6102.6601559999999</v>
      </c>
      <c r="G592" s="4">
        <v>1909710000</v>
      </c>
      <c r="H592">
        <f t="shared" si="9"/>
        <v>3.1145204008517063E-4</v>
      </c>
    </row>
    <row r="593" spans="1:8" x14ac:dyDescent="0.3">
      <c r="A593" s="5">
        <v>42864</v>
      </c>
      <c r="B593" s="6">
        <v>6111.8198240000002</v>
      </c>
      <c r="C593" s="6">
        <v>6133</v>
      </c>
      <c r="D593" s="6">
        <v>6107.5898440000001</v>
      </c>
      <c r="E593" s="6">
        <v>6120.5898440000001</v>
      </c>
      <c r="F593" s="6">
        <v>6120.5898440000001</v>
      </c>
      <c r="G593" s="4">
        <v>1997490000</v>
      </c>
      <c r="H593">
        <f t="shared" si="9"/>
        <v>2.9337043518704998E-3</v>
      </c>
    </row>
    <row r="594" spans="1:8" x14ac:dyDescent="0.3">
      <c r="A594" s="5">
        <v>42865</v>
      </c>
      <c r="B594" s="6">
        <v>6121.6401370000003</v>
      </c>
      <c r="C594" s="6">
        <v>6131.6401370000003</v>
      </c>
      <c r="D594" s="6">
        <v>6103.8701170000004</v>
      </c>
      <c r="E594" s="6">
        <v>6129.1401370000003</v>
      </c>
      <c r="F594" s="6">
        <v>6129.1401370000003</v>
      </c>
      <c r="G594" s="4">
        <v>2108000000</v>
      </c>
      <c r="H594">
        <f t="shared" si="9"/>
        <v>1.3959972018706881E-3</v>
      </c>
    </row>
    <row r="595" spans="1:8" x14ac:dyDescent="0.3">
      <c r="A595" s="5">
        <v>42866</v>
      </c>
      <c r="B595" s="6">
        <v>6110.0498049999997</v>
      </c>
      <c r="C595" s="6">
        <v>6120.2001950000003</v>
      </c>
      <c r="D595" s="6">
        <v>6075.6801759999998</v>
      </c>
      <c r="E595" s="6">
        <v>6115.9599609999996</v>
      </c>
      <c r="F595" s="6">
        <v>6115.9599609999996</v>
      </c>
      <c r="G595" s="4">
        <v>1950910000</v>
      </c>
      <c r="H595">
        <f t="shared" si="9"/>
        <v>-2.152727374136494E-3</v>
      </c>
    </row>
    <row r="596" spans="1:8" x14ac:dyDescent="0.3">
      <c r="A596" s="5">
        <v>42867</v>
      </c>
      <c r="B596" s="6">
        <v>6119.2700199999999</v>
      </c>
      <c r="C596" s="6">
        <v>6122.8398440000001</v>
      </c>
      <c r="D596" s="6">
        <v>6105.419922</v>
      </c>
      <c r="E596" s="6">
        <v>6121.2299800000001</v>
      </c>
      <c r="F596" s="6">
        <v>6121.2299800000001</v>
      </c>
      <c r="G596" s="4">
        <v>1740960000</v>
      </c>
      <c r="H596">
        <f t="shared" si="9"/>
        <v>8.6131200891876138E-4</v>
      </c>
    </row>
    <row r="597" spans="1:8" x14ac:dyDescent="0.3">
      <c r="A597" s="5">
        <v>42870</v>
      </c>
      <c r="B597" s="6">
        <v>6128.1098629999997</v>
      </c>
      <c r="C597" s="6">
        <v>6153.0400390000004</v>
      </c>
      <c r="D597" s="6">
        <v>6124.7900390000004</v>
      </c>
      <c r="E597" s="6">
        <v>6149.669922</v>
      </c>
      <c r="F597" s="6">
        <v>6149.669922</v>
      </c>
      <c r="G597" s="4">
        <v>1850790000</v>
      </c>
      <c r="H597">
        <f t="shared" si="9"/>
        <v>4.6353557033419236E-3</v>
      </c>
    </row>
    <row r="598" spans="1:8" x14ac:dyDescent="0.3">
      <c r="A598" s="5">
        <v>42871</v>
      </c>
      <c r="B598" s="6">
        <v>6160.5200199999999</v>
      </c>
      <c r="C598" s="6">
        <v>6170.1601559999999</v>
      </c>
      <c r="D598" s="6">
        <v>6139.1000979999999</v>
      </c>
      <c r="E598" s="6">
        <v>6169.8701170000004</v>
      </c>
      <c r="F598" s="6">
        <v>6169.8701170000004</v>
      </c>
      <c r="G598" s="4">
        <v>1999330000</v>
      </c>
      <c r="H598">
        <f t="shared" si="9"/>
        <v>3.2793778078284257E-3</v>
      </c>
    </row>
    <row r="599" spans="1:8" x14ac:dyDescent="0.3">
      <c r="A599" s="5">
        <v>42872</v>
      </c>
      <c r="B599" s="6">
        <v>6108.6201170000004</v>
      </c>
      <c r="C599" s="6">
        <v>6122.8701170000004</v>
      </c>
      <c r="D599" s="6">
        <v>6009.4799800000001</v>
      </c>
      <c r="E599" s="6">
        <v>6011.2402339999999</v>
      </c>
      <c r="F599" s="6">
        <v>6011.2402339999999</v>
      </c>
      <c r="G599" s="4">
        <v>2347480000</v>
      </c>
      <c r="H599">
        <f t="shared" si="9"/>
        <v>-2.6046697978478923E-2</v>
      </c>
    </row>
    <row r="600" spans="1:8" x14ac:dyDescent="0.3">
      <c r="A600" s="5">
        <v>42873</v>
      </c>
      <c r="B600" s="6">
        <v>5998.4599609999996</v>
      </c>
      <c r="C600" s="6">
        <v>6073.4501950000003</v>
      </c>
      <c r="D600" s="6">
        <v>5996.8100590000004</v>
      </c>
      <c r="E600" s="6">
        <v>6055.1298829999996</v>
      </c>
      <c r="F600" s="6">
        <v>6055.1298829999996</v>
      </c>
      <c r="G600" s="4">
        <v>2131520000</v>
      </c>
      <c r="H600">
        <f t="shared" si="9"/>
        <v>7.2747383238301799E-3</v>
      </c>
    </row>
    <row r="601" spans="1:8" x14ac:dyDescent="0.3">
      <c r="A601" s="5">
        <v>42874</v>
      </c>
      <c r="B601" s="6">
        <v>6070.2299800000001</v>
      </c>
      <c r="C601" s="6">
        <v>6106.5498049999997</v>
      </c>
      <c r="D601" s="6">
        <v>6070.2299800000001</v>
      </c>
      <c r="E601" s="6">
        <v>6083.7001950000003</v>
      </c>
      <c r="F601" s="6">
        <v>6083.7001950000003</v>
      </c>
      <c r="G601" s="4">
        <v>1905520000</v>
      </c>
      <c r="H601">
        <f t="shared" si="9"/>
        <v>4.7072682577102365E-3</v>
      </c>
    </row>
    <row r="602" spans="1:8" x14ac:dyDescent="0.3">
      <c r="A602" s="5">
        <v>42877</v>
      </c>
      <c r="B602" s="6">
        <v>6098.25</v>
      </c>
      <c r="C602" s="6">
        <v>6135.919922</v>
      </c>
      <c r="D602" s="6">
        <v>6097.2402339999999</v>
      </c>
      <c r="E602" s="6">
        <v>6133.6201170000004</v>
      </c>
      <c r="F602" s="6">
        <v>6133.6201170000004</v>
      </c>
      <c r="G602" s="4">
        <v>1726230000</v>
      </c>
      <c r="H602">
        <f t="shared" si="9"/>
        <v>8.1720374907683895E-3</v>
      </c>
    </row>
    <row r="603" spans="1:8" x14ac:dyDescent="0.3">
      <c r="A603" s="5">
        <v>42878</v>
      </c>
      <c r="B603" s="6">
        <v>6149.5498049999997</v>
      </c>
      <c r="C603" s="6">
        <v>6150.9101559999999</v>
      </c>
      <c r="D603" s="6">
        <v>6121.7900390000004</v>
      </c>
      <c r="E603" s="6">
        <v>6138.7099609999996</v>
      </c>
      <c r="F603" s="6">
        <v>6138.7099609999996</v>
      </c>
      <c r="G603" s="4">
        <v>1705860000</v>
      </c>
      <c r="H603">
        <f t="shared" si="9"/>
        <v>8.2948295221597749E-4</v>
      </c>
    </row>
    <row r="604" spans="1:8" x14ac:dyDescent="0.3">
      <c r="A604" s="5">
        <v>42879</v>
      </c>
      <c r="B604" s="6">
        <v>6154.1801759999998</v>
      </c>
      <c r="C604" s="6">
        <v>6166.0898440000001</v>
      </c>
      <c r="D604" s="6">
        <v>6139.330078</v>
      </c>
      <c r="E604" s="6">
        <v>6163.0200199999999</v>
      </c>
      <c r="F604" s="6">
        <v>6163.0200199999999</v>
      </c>
      <c r="G604" s="4">
        <v>1666050000</v>
      </c>
      <c r="H604">
        <f t="shared" si="9"/>
        <v>3.9523043803709719E-3</v>
      </c>
    </row>
    <row r="605" spans="1:8" x14ac:dyDescent="0.3">
      <c r="A605" s="5">
        <v>42880</v>
      </c>
      <c r="B605" s="6">
        <v>6183.0200199999999</v>
      </c>
      <c r="C605" s="6">
        <v>6217.3398440000001</v>
      </c>
      <c r="D605" s="6">
        <v>6174.5200199999999</v>
      </c>
      <c r="E605" s="6">
        <v>6205.2597660000001</v>
      </c>
      <c r="F605" s="6">
        <v>6205.2597660000001</v>
      </c>
      <c r="G605" s="4">
        <v>1767690000</v>
      </c>
      <c r="H605">
        <f t="shared" si="9"/>
        <v>6.830361368151008E-3</v>
      </c>
    </row>
    <row r="606" spans="1:8" x14ac:dyDescent="0.3">
      <c r="A606" s="5">
        <v>42881</v>
      </c>
      <c r="B606" s="6">
        <v>6207.0400390000004</v>
      </c>
      <c r="C606" s="6">
        <v>6211.5200199999999</v>
      </c>
      <c r="D606" s="6">
        <v>6196.6601559999999</v>
      </c>
      <c r="E606" s="6">
        <v>6210.1899409999996</v>
      </c>
      <c r="F606" s="6">
        <v>6210.1899409999996</v>
      </c>
      <c r="G606" s="4">
        <v>1571040000</v>
      </c>
      <c r="H606">
        <f t="shared" si="9"/>
        <v>7.9420002907555783E-4</v>
      </c>
    </row>
    <row r="607" spans="1:8" x14ac:dyDescent="0.3">
      <c r="A607" s="5">
        <v>42885</v>
      </c>
      <c r="B607" s="6">
        <v>6204.1801759999998</v>
      </c>
      <c r="C607" s="6">
        <v>6217.1298829999996</v>
      </c>
      <c r="D607" s="6">
        <v>6200.4101559999999</v>
      </c>
      <c r="E607" s="6">
        <v>6203.1899409999996</v>
      </c>
      <c r="F607" s="6">
        <v>6203.1899409999996</v>
      </c>
      <c r="G607" s="4">
        <v>1688480000</v>
      </c>
      <c r="H607">
        <f t="shared" si="9"/>
        <v>-1.1278154392313066E-3</v>
      </c>
    </row>
    <row r="608" spans="1:8" x14ac:dyDescent="0.3">
      <c r="A608" s="5">
        <v>42886</v>
      </c>
      <c r="B608" s="6">
        <v>6221.6298829999996</v>
      </c>
      <c r="C608" s="6">
        <v>6221.9902339999999</v>
      </c>
      <c r="D608" s="6">
        <v>6164.0698240000002</v>
      </c>
      <c r="E608" s="6">
        <v>6198.5200199999999</v>
      </c>
      <c r="F608" s="6">
        <v>6198.5200199999999</v>
      </c>
      <c r="G608" s="4">
        <v>2209400000</v>
      </c>
      <c r="H608">
        <f t="shared" si="9"/>
        <v>-7.5310924629045566E-4</v>
      </c>
    </row>
    <row r="609" spans="1:8" x14ac:dyDescent="0.3">
      <c r="A609" s="5">
        <v>42887</v>
      </c>
      <c r="B609" s="6">
        <v>6215.9101559999999</v>
      </c>
      <c r="C609" s="6">
        <v>6247.0698240000002</v>
      </c>
      <c r="D609" s="6">
        <v>6200.4501950000003</v>
      </c>
      <c r="E609" s="6">
        <v>6246.830078</v>
      </c>
      <c r="F609" s="6">
        <v>6246.830078</v>
      </c>
      <c r="G609" s="4">
        <v>1943610000</v>
      </c>
      <c r="H609">
        <f t="shared" si="9"/>
        <v>7.763590460700672E-3</v>
      </c>
    </row>
    <row r="610" spans="1:8" x14ac:dyDescent="0.3">
      <c r="A610" s="5">
        <v>42888</v>
      </c>
      <c r="B610" s="6">
        <v>6261.5898440000001</v>
      </c>
      <c r="C610" s="6">
        <v>6308.7597660000001</v>
      </c>
      <c r="D610" s="6">
        <v>6253.7700199999999</v>
      </c>
      <c r="E610" s="6">
        <v>6305.7998049999997</v>
      </c>
      <c r="F610" s="6">
        <v>6305.7998049999997</v>
      </c>
      <c r="G610" s="4">
        <v>1820000000</v>
      </c>
      <c r="H610">
        <f t="shared" si="9"/>
        <v>9.3956663045886742E-3</v>
      </c>
    </row>
    <row r="611" spans="1:8" x14ac:dyDescent="0.3">
      <c r="A611" s="5">
        <v>42891</v>
      </c>
      <c r="B611" s="6">
        <v>6305.4702150000003</v>
      </c>
      <c r="C611" s="6">
        <v>6310.6201170000004</v>
      </c>
      <c r="D611" s="6">
        <v>6292.1499020000001</v>
      </c>
      <c r="E611" s="6">
        <v>6295.6801759999998</v>
      </c>
      <c r="F611" s="6">
        <v>6295.6801759999998</v>
      </c>
      <c r="G611" s="4">
        <v>1739820000</v>
      </c>
      <c r="H611">
        <f t="shared" si="9"/>
        <v>-1.6061020119240083E-3</v>
      </c>
    </row>
    <row r="612" spans="1:8" x14ac:dyDescent="0.3">
      <c r="A612" s="5">
        <v>42892</v>
      </c>
      <c r="B612" s="6">
        <v>6281.8798829999996</v>
      </c>
      <c r="C612" s="6">
        <v>6304.2099609999996</v>
      </c>
      <c r="D612" s="6">
        <v>6269.8701170000004</v>
      </c>
      <c r="E612" s="6">
        <v>6275.0600590000004</v>
      </c>
      <c r="F612" s="6">
        <v>6275.0600590000004</v>
      </c>
      <c r="G612" s="4">
        <v>1889690000</v>
      </c>
      <c r="H612">
        <f t="shared" si="9"/>
        <v>-3.2806557304555753E-3</v>
      </c>
    </row>
    <row r="613" spans="1:8" x14ac:dyDescent="0.3">
      <c r="A613" s="5">
        <v>42893</v>
      </c>
      <c r="B613" s="6">
        <v>6290.4399409999996</v>
      </c>
      <c r="C613" s="6">
        <v>6302.7797849999997</v>
      </c>
      <c r="D613" s="6">
        <v>6267.1801759999998</v>
      </c>
      <c r="E613" s="6">
        <v>6297.3798829999996</v>
      </c>
      <c r="F613" s="6">
        <v>6297.3798829999996</v>
      </c>
      <c r="G613" s="4">
        <v>1822270000</v>
      </c>
      <c r="H613">
        <f t="shared" si="9"/>
        <v>3.5505991758703484E-3</v>
      </c>
    </row>
    <row r="614" spans="1:8" x14ac:dyDescent="0.3">
      <c r="A614" s="5">
        <v>42894</v>
      </c>
      <c r="B614" s="6">
        <v>6311.7299800000001</v>
      </c>
      <c r="C614" s="6">
        <v>6324.0600590000004</v>
      </c>
      <c r="D614" s="6">
        <v>6282.9301759999998</v>
      </c>
      <c r="E614" s="6">
        <v>6321.7597660000001</v>
      </c>
      <c r="F614" s="6">
        <v>6321.7597660000001</v>
      </c>
      <c r="G614" s="4">
        <v>2128780000</v>
      </c>
      <c r="H614">
        <f t="shared" si="9"/>
        <v>3.8639580844819555E-3</v>
      </c>
    </row>
    <row r="615" spans="1:8" x14ac:dyDescent="0.3">
      <c r="A615" s="5">
        <v>42895</v>
      </c>
      <c r="B615" s="6">
        <v>6330.25</v>
      </c>
      <c r="C615" s="6">
        <v>6341.7001950000003</v>
      </c>
      <c r="D615" s="6">
        <v>6137.6801759999998</v>
      </c>
      <c r="E615" s="6">
        <v>6207.919922</v>
      </c>
      <c r="F615" s="6">
        <v>6207.919922</v>
      </c>
      <c r="G615" s="4">
        <v>3152050000</v>
      </c>
      <c r="H615">
        <f t="shared" si="9"/>
        <v>-1.8171729752423781E-2</v>
      </c>
    </row>
    <row r="616" spans="1:8" x14ac:dyDescent="0.3">
      <c r="A616" s="5">
        <v>42898</v>
      </c>
      <c r="B616" s="6">
        <v>6153.5600590000004</v>
      </c>
      <c r="C616" s="6">
        <v>6183.8100590000004</v>
      </c>
      <c r="D616" s="6">
        <v>6110.669922</v>
      </c>
      <c r="E616" s="6">
        <v>6175.4599609999996</v>
      </c>
      <c r="F616" s="6">
        <v>6175.4599609999996</v>
      </c>
      <c r="G616" s="4">
        <v>2586540000</v>
      </c>
      <c r="H616">
        <f t="shared" si="9"/>
        <v>-5.2425162840391516E-3</v>
      </c>
    </row>
    <row r="617" spans="1:8" x14ac:dyDescent="0.3">
      <c r="A617" s="5">
        <v>42899</v>
      </c>
      <c r="B617" s="6">
        <v>6206.1201170000004</v>
      </c>
      <c r="C617" s="6">
        <v>6226.4101559999999</v>
      </c>
      <c r="D617" s="6">
        <v>6180.0400390000004</v>
      </c>
      <c r="E617" s="6">
        <v>6220.3701170000004</v>
      </c>
      <c r="F617" s="6">
        <v>6220.3701170000004</v>
      </c>
      <c r="G617" s="4">
        <v>2062110000</v>
      </c>
      <c r="H617">
        <f t="shared" si="9"/>
        <v>7.2460419702986903E-3</v>
      </c>
    </row>
    <row r="618" spans="1:8" x14ac:dyDescent="0.3">
      <c r="A618" s="5">
        <v>42900</v>
      </c>
      <c r="B618" s="6">
        <v>6237.4599609999996</v>
      </c>
      <c r="C618" s="6">
        <v>6237.5297849999997</v>
      </c>
      <c r="D618" s="6">
        <v>6153.5498049999997</v>
      </c>
      <c r="E618" s="6">
        <v>6194.8901370000003</v>
      </c>
      <c r="F618" s="6">
        <v>6194.8901370000003</v>
      </c>
      <c r="G618" s="4">
        <v>1940440000</v>
      </c>
      <c r="H618">
        <f t="shared" si="9"/>
        <v>-4.1046285381928088E-3</v>
      </c>
    </row>
    <row r="619" spans="1:8" x14ac:dyDescent="0.3">
      <c r="A619" s="5">
        <v>42901</v>
      </c>
      <c r="B619" s="6">
        <v>6127.0498049999997</v>
      </c>
      <c r="C619" s="6">
        <v>6170.1499020000001</v>
      </c>
      <c r="D619" s="6">
        <v>6107.8500979999999</v>
      </c>
      <c r="E619" s="6">
        <v>6165.5</v>
      </c>
      <c r="F619" s="6">
        <v>6165.5</v>
      </c>
      <c r="G619" s="4">
        <v>1858130000</v>
      </c>
      <c r="H619">
        <f t="shared" si="9"/>
        <v>-4.7555444549701792E-3</v>
      </c>
    </row>
    <row r="620" spans="1:8" x14ac:dyDescent="0.3">
      <c r="A620" s="5">
        <v>42902</v>
      </c>
      <c r="B620" s="6">
        <v>6154.2797849999997</v>
      </c>
      <c r="C620" s="6">
        <v>6161.5600590000004</v>
      </c>
      <c r="D620" s="6">
        <v>6125.5</v>
      </c>
      <c r="E620" s="6">
        <v>6151.7597660000001</v>
      </c>
      <c r="F620" s="6">
        <v>6151.7597660000001</v>
      </c>
      <c r="G620" s="4">
        <v>3120640000</v>
      </c>
      <c r="H620">
        <f t="shared" si="9"/>
        <v>-2.2310546274881154E-3</v>
      </c>
    </row>
    <row r="621" spans="1:8" x14ac:dyDescent="0.3">
      <c r="A621" s="5">
        <v>42905</v>
      </c>
      <c r="B621" s="6">
        <v>6196.8500979999999</v>
      </c>
      <c r="C621" s="6">
        <v>6243.3100590000004</v>
      </c>
      <c r="D621" s="6">
        <v>6194</v>
      </c>
      <c r="E621" s="6">
        <v>6239.0097660000001</v>
      </c>
      <c r="F621" s="6">
        <v>6239.0097660000001</v>
      </c>
      <c r="G621" s="4">
        <v>1976970000</v>
      </c>
      <c r="H621">
        <f t="shared" si="9"/>
        <v>1.4083296741418666E-2</v>
      </c>
    </row>
    <row r="622" spans="1:8" x14ac:dyDescent="0.3">
      <c r="A622" s="5">
        <v>42906</v>
      </c>
      <c r="B622" s="6">
        <v>6229.6201170000004</v>
      </c>
      <c r="C622" s="6">
        <v>6234.0097660000001</v>
      </c>
      <c r="D622" s="6">
        <v>6186.9399409999996</v>
      </c>
      <c r="E622" s="6">
        <v>6188.0297849999997</v>
      </c>
      <c r="F622" s="6">
        <v>6188.0297849999997</v>
      </c>
      <c r="G622" s="4">
        <v>2570130000</v>
      </c>
      <c r="H622">
        <f t="shared" si="9"/>
        <v>-8.2047323947267506E-3</v>
      </c>
    </row>
    <row r="623" spans="1:8" x14ac:dyDescent="0.3">
      <c r="A623" s="5">
        <v>42907</v>
      </c>
      <c r="B623" s="6">
        <v>6202.75</v>
      </c>
      <c r="C623" s="6">
        <v>6236.6601559999999</v>
      </c>
      <c r="D623" s="6">
        <v>6200.8598629999997</v>
      </c>
      <c r="E623" s="6">
        <v>6233.9501950000003</v>
      </c>
      <c r="F623" s="6">
        <v>6233.9501950000003</v>
      </c>
      <c r="G623" s="4">
        <v>2401440000</v>
      </c>
      <c r="H623">
        <f t="shared" si="9"/>
        <v>7.3934460130930559E-3</v>
      </c>
    </row>
    <row r="624" spans="1:8" x14ac:dyDescent="0.3">
      <c r="A624" s="5">
        <v>42908</v>
      </c>
      <c r="B624" s="6">
        <v>6239.1499020000001</v>
      </c>
      <c r="C624" s="6">
        <v>6257.6801759999998</v>
      </c>
      <c r="D624" s="6">
        <v>6221.9599609999996</v>
      </c>
      <c r="E624" s="6">
        <v>6236.6899409999996</v>
      </c>
      <c r="F624" s="6">
        <v>6236.6899409999996</v>
      </c>
      <c r="G624" s="4">
        <v>2170250000</v>
      </c>
      <c r="H624">
        <f t="shared" si="9"/>
        <v>4.3939140480359822E-4</v>
      </c>
    </row>
    <row r="625" spans="1:8" x14ac:dyDescent="0.3">
      <c r="A625" s="5">
        <v>42909</v>
      </c>
      <c r="B625" s="6">
        <v>6234.3500979999999</v>
      </c>
      <c r="C625" s="6">
        <v>6269.3701170000004</v>
      </c>
      <c r="D625" s="6">
        <v>6218.7797849999997</v>
      </c>
      <c r="E625" s="6">
        <v>6265.25</v>
      </c>
      <c r="F625" s="6">
        <v>6265.25</v>
      </c>
      <c r="G625" s="4">
        <v>2704600000</v>
      </c>
      <c r="H625">
        <f t="shared" si="9"/>
        <v>4.5689083161790959E-3</v>
      </c>
    </row>
    <row r="626" spans="1:8" x14ac:dyDescent="0.3">
      <c r="A626" s="5">
        <v>42912</v>
      </c>
      <c r="B626" s="6">
        <v>6292.7299800000001</v>
      </c>
      <c r="C626" s="6">
        <v>6303.4501950000003</v>
      </c>
      <c r="D626" s="6">
        <v>6233.4301759999998</v>
      </c>
      <c r="E626" s="6">
        <v>6247.1499020000001</v>
      </c>
      <c r="F626" s="6">
        <v>6247.1499020000001</v>
      </c>
      <c r="G626" s="4">
        <v>2150630000</v>
      </c>
      <c r="H626">
        <f t="shared" si="9"/>
        <v>-2.8931477201877419E-3</v>
      </c>
    </row>
    <row r="627" spans="1:8" x14ac:dyDescent="0.3">
      <c r="A627" s="5">
        <v>42913</v>
      </c>
      <c r="B627" s="6">
        <v>6227.8999020000001</v>
      </c>
      <c r="C627" s="6">
        <v>6234.3198240000002</v>
      </c>
      <c r="D627" s="6">
        <v>6146.6201170000004</v>
      </c>
      <c r="E627" s="6">
        <v>6146.6201170000004</v>
      </c>
      <c r="F627" s="6">
        <v>6146.6201170000004</v>
      </c>
      <c r="G627" s="4">
        <v>2181830000</v>
      </c>
      <c r="H627">
        <f t="shared" si="9"/>
        <v>-1.6222987786060124E-2</v>
      </c>
    </row>
    <row r="628" spans="1:8" x14ac:dyDescent="0.3">
      <c r="A628" s="5">
        <v>42914</v>
      </c>
      <c r="B628" s="6">
        <v>6173.1000979999999</v>
      </c>
      <c r="C628" s="6">
        <v>6238.2900390000004</v>
      </c>
      <c r="D628" s="6">
        <v>6144.7998049999997</v>
      </c>
      <c r="E628" s="6">
        <v>6234.4101559999999</v>
      </c>
      <c r="F628" s="6">
        <v>6234.4101559999999</v>
      </c>
      <c r="G628" s="4">
        <v>2069400000</v>
      </c>
      <c r="H628">
        <f t="shared" si="9"/>
        <v>1.4181616296456779E-2</v>
      </c>
    </row>
    <row r="629" spans="1:8" x14ac:dyDescent="0.3">
      <c r="A629" s="5">
        <v>42915</v>
      </c>
      <c r="B629" s="6">
        <v>6215.4902339999999</v>
      </c>
      <c r="C629" s="6">
        <v>6216.6000979999999</v>
      </c>
      <c r="D629" s="6">
        <v>6087.8100590000004</v>
      </c>
      <c r="E629" s="6">
        <v>6144.3500979999999</v>
      </c>
      <c r="F629" s="6">
        <v>6144.3500979999999</v>
      </c>
      <c r="G629" s="4">
        <v>2402250000</v>
      </c>
      <c r="H629">
        <f t="shared" si="9"/>
        <v>-1.4550996253629071E-2</v>
      </c>
    </row>
    <row r="630" spans="1:8" x14ac:dyDescent="0.3">
      <c r="A630" s="5">
        <v>42916</v>
      </c>
      <c r="B630" s="6">
        <v>6166.8398440000001</v>
      </c>
      <c r="C630" s="6">
        <v>6170.6298829999996</v>
      </c>
      <c r="D630" s="6">
        <v>6129.0400390000004</v>
      </c>
      <c r="E630" s="6">
        <v>6140.419922</v>
      </c>
      <c r="F630" s="6">
        <v>6140.419922</v>
      </c>
      <c r="G630" s="4">
        <v>1998330000</v>
      </c>
      <c r="H630">
        <f t="shared" si="9"/>
        <v>-6.3984529261623517E-4</v>
      </c>
    </row>
    <row r="631" spans="1:8" x14ac:dyDescent="0.3">
      <c r="A631" s="5">
        <v>42919</v>
      </c>
      <c r="B631" s="6">
        <v>6173.2900390000004</v>
      </c>
      <c r="C631" s="6">
        <v>6177.3598629999997</v>
      </c>
      <c r="D631" s="6">
        <v>6106.1201170000004</v>
      </c>
      <c r="E631" s="6">
        <v>6110.0600590000004</v>
      </c>
      <c r="F631" s="6">
        <v>6110.0600590000004</v>
      </c>
      <c r="G631" s="4">
        <v>1099560000</v>
      </c>
      <c r="H631">
        <f t="shared" si="9"/>
        <v>-4.9565282669295279E-3</v>
      </c>
    </row>
    <row r="632" spans="1:8" x14ac:dyDescent="0.3">
      <c r="A632" s="5">
        <v>42921</v>
      </c>
      <c r="B632" s="6">
        <v>6122.0600590000004</v>
      </c>
      <c r="C632" s="6">
        <v>6163.6201170000004</v>
      </c>
      <c r="D632" s="6">
        <v>6100.419922</v>
      </c>
      <c r="E632" s="6">
        <v>6150.8598629999997</v>
      </c>
      <c r="F632" s="6">
        <v>6150.8598629999997</v>
      </c>
      <c r="G632" s="4">
        <v>1872130000</v>
      </c>
      <c r="H632">
        <f t="shared" si="9"/>
        <v>6.6552844083928543E-3</v>
      </c>
    </row>
    <row r="633" spans="1:8" x14ac:dyDescent="0.3">
      <c r="A633" s="5">
        <v>42922</v>
      </c>
      <c r="B633" s="6">
        <v>6109.6000979999999</v>
      </c>
      <c r="C633" s="6">
        <v>6127.9799800000001</v>
      </c>
      <c r="D633" s="6">
        <v>6081.9599609999996</v>
      </c>
      <c r="E633" s="6">
        <v>6089.4599609999996</v>
      </c>
      <c r="F633" s="6">
        <v>6089.4599609999996</v>
      </c>
      <c r="G633" s="4">
        <v>1990590000</v>
      </c>
      <c r="H633">
        <f t="shared" si="9"/>
        <v>-1.003248573200903E-2</v>
      </c>
    </row>
    <row r="634" spans="1:8" x14ac:dyDescent="0.3">
      <c r="A634" s="5">
        <v>42923</v>
      </c>
      <c r="B634" s="6">
        <v>6111.2099609999996</v>
      </c>
      <c r="C634" s="6">
        <v>6164.9399409999996</v>
      </c>
      <c r="D634" s="6">
        <v>6111.2099609999996</v>
      </c>
      <c r="E634" s="6">
        <v>6153.080078</v>
      </c>
      <c r="F634" s="6">
        <v>6153.080078</v>
      </c>
      <c r="G634" s="4">
        <v>1700630000</v>
      </c>
      <c r="H634">
        <f t="shared" si="9"/>
        <v>1.03933807030094E-2</v>
      </c>
    </row>
    <row r="635" spans="1:8" x14ac:dyDescent="0.3">
      <c r="A635" s="5">
        <v>42926</v>
      </c>
      <c r="B635" s="6">
        <v>6156.0297849999997</v>
      </c>
      <c r="C635" s="6">
        <v>6191.2700199999999</v>
      </c>
      <c r="D635" s="6">
        <v>6141.830078</v>
      </c>
      <c r="E635" s="6">
        <v>6176.3901370000003</v>
      </c>
      <c r="F635" s="6">
        <v>6176.3901370000003</v>
      </c>
      <c r="G635" s="4">
        <v>1675470000</v>
      </c>
      <c r="H635">
        <f t="shared" si="9"/>
        <v>3.7811984402255703E-3</v>
      </c>
    </row>
    <row r="636" spans="1:8" x14ac:dyDescent="0.3">
      <c r="A636" s="5">
        <v>42927</v>
      </c>
      <c r="B636" s="6">
        <v>6171.25</v>
      </c>
      <c r="C636" s="6">
        <v>6200.580078</v>
      </c>
      <c r="D636" s="6">
        <v>6149.8701170000004</v>
      </c>
      <c r="E636" s="6">
        <v>6193.2998049999997</v>
      </c>
      <c r="F636" s="6">
        <v>6193.2998049999997</v>
      </c>
      <c r="G636" s="4">
        <v>1808110000</v>
      </c>
      <c r="H636">
        <f t="shared" si="9"/>
        <v>2.7340505077563448E-3</v>
      </c>
    </row>
    <row r="637" spans="1:8" x14ac:dyDescent="0.3">
      <c r="A637" s="5">
        <v>42928</v>
      </c>
      <c r="B637" s="6">
        <v>6238.8999020000001</v>
      </c>
      <c r="C637" s="6">
        <v>6265.6401370000003</v>
      </c>
      <c r="D637" s="6">
        <v>6236.8198240000002</v>
      </c>
      <c r="E637" s="6">
        <v>6261.169922</v>
      </c>
      <c r="F637" s="6">
        <v>6261.169922</v>
      </c>
      <c r="G637" s="4">
        <v>1820550000</v>
      </c>
      <c r="H637">
        <f t="shared" si="9"/>
        <v>1.0899025062793085E-2</v>
      </c>
    </row>
    <row r="638" spans="1:8" x14ac:dyDescent="0.3">
      <c r="A638" s="5">
        <v>42929</v>
      </c>
      <c r="B638" s="6">
        <v>6269.1000979999999</v>
      </c>
      <c r="C638" s="6">
        <v>6281.4501950000003</v>
      </c>
      <c r="D638" s="6">
        <v>6251.2597660000001</v>
      </c>
      <c r="E638" s="6">
        <v>6274.4399409999996</v>
      </c>
      <c r="F638" s="6">
        <v>6274.4399409999996</v>
      </c>
      <c r="G638" s="4">
        <v>1803810000</v>
      </c>
      <c r="H638">
        <f t="shared" si="9"/>
        <v>2.1171724554036762E-3</v>
      </c>
    </row>
    <row r="639" spans="1:8" x14ac:dyDescent="0.3">
      <c r="A639" s="5">
        <v>42930</v>
      </c>
      <c r="B639" s="6">
        <v>6289.080078</v>
      </c>
      <c r="C639" s="6">
        <v>6321.7597660000001</v>
      </c>
      <c r="D639" s="6">
        <v>6278.7001950000003</v>
      </c>
      <c r="E639" s="6">
        <v>6312.4702150000003</v>
      </c>
      <c r="F639" s="6">
        <v>6312.4702150000003</v>
      </c>
      <c r="G639" s="4">
        <v>1608120000</v>
      </c>
      <c r="H639">
        <f t="shared" si="9"/>
        <v>6.0428475701715138E-3</v>
      </c>
    </row>
    <row r="640" spans="1:8" x14ac:dyDescent="0.3">
      <c r="A640" s="5">
        <v>42933</v>
      </c>
      <c r="B640" s="6">
        <v>6320.3500979999999</v>
      </c>
      <c r="C640" s="6">
        <v>6330.9702150000003</v>
      </c>
      <c r="D640" s="6">
        <v>6307.3398440000001</v>
      </c>
      <c r="E640" s="6">
        <v>6314.4301759999998</v>
      </c>
      <c r="F640" s="6">
        <v>6314.4301759999998</v>
      </c>
      <c r="G640" s="4">
        <v>1558030000</v>
      </c>
      <c r="H640">
        <f t="shared" si="9"/>
        <v>3.104421441603234E-4</v>
      </c>
    </row>
    <row r="641" spans="1:8" x14ac:dyDescent="0.3">
      <c r="A641" s="5">
        <v>42934</v>
      </c>
      <c r="B641" s="6">
        <v>6304.8198240000002</v>
      </c>
      <c r="C641" s="6">
        <v>6344.5498049999997</v>
      </c>
      <c r="D641" s="6">
        <v>6291.0698240000002</v>
      </c>
      <c r="E641" s="6">
        <v>6344.3100590000004</v>
      </c>
      <c r="F641" s="6">
        <v>6344.3100590000004</v>
      </c>
      <c r="G641" s="4">
        <v>1762400000</v>
      </c>
      <c r="H641">
        <f t="shared" si="9"/>
        <v>4.7208391890516078E-3</v>
      </c>
    </row>
    <row r="642" spans="1:8" x14ac:dyDescent="0.3">
      <c r="A642" s="5">
        <v>42935</v>
      </c>
      <c r="B642" s="6">
        <v>6363.2402339999999</v>
      </c>
      <c r="C642" s="6">
        <v>6387.7299800000001</v>
      </c>
      <c r="D642" s="6">
        <v>6362.1899409999996</v>
      </c>
      <c r="E642" s="6">
        <v>6385.0400390000004</v>
      </c>
      <c r="F642" s="6">
        <v>6385.0400390000004</v>
      </c>
      <c r="G642" s="4">
        <v>1862910000</v>
      </c>
      <c r="H642">
        <f t="shared" si="9"/>
        <v>6.3994027480407971E-3</v>
      </c>
    </row>
    <row r="643" spans="1:8" x14ac:dyDescent="0.3">
      <c r="A643" s="5">
        <v>42936</v>
      </c>
      <c r="B643" s="6">
        <v>6396.4599609999996</v>
      </c>
      <c r="C643" s="6">
        <v>6398.2597660000001</v>
      </c>
      <c r="D643" s="6">
        <v>6365.6801759999998</v>
      </c>
      <c r="E643" s="6">
        <v>6390</v>
      </c>
      <c r="F643" s="6">
        <v>6390</v>
      </c>
      <c r="G643" s="4">
        <v>1818880000</v>
      </c>
      <c r="H643">
        <f t="shared" si="9"/>
        <v>7.7650813368596982E-4</v>
      </c>
    </row>
    <row r="644" spans="1:8" x14ac:dyDescent="0.3">
      <c r="A644" s="5">
        <v>42937</v>
      </c>
      <c r="B644" s="6">
        <v>6383.0498049999997</v>
      </c>
      <c r="C644" s="6">
        <v>6388.7797849999997</v>
      </c>
      <c r="D644" s="6">
        <v>6365.1201170000004</v>
      </c>
      <c r="E644" s="6">
        <v>6387.75</v>
      </c>
      <c r="F644" s="6">
        <v>6387.75</v>
      </c>
      <c r="G644" s="4">
        <v>1797100000</v>
      </c>
      <c r="H644">
        <f t="shared" ref="H644:H707" si="10">LN(E644/E643)</f>
        <v>-3.5217468228059174E-4</v>
      </c>
    </row>
    <row r="645" spans="1:8" x14ac:dyDescent="0.3">
      <c r="A645" s="5">
        <v>42940</v>
      </c>
      <c r="B645" s="6">
        <v>6387.8198240000002</v>
      </c>
      <c r="C645" s="6">
        <v>6417.7001950000003</v>
      </c>
      <c r="D645" s="6">
        <v>6380.6098629999997</v>
      </c>
      <c r="E645" s="6">
        <v>6410.8100590000004</v>
      </c>
      <c r="F645" s="6">
        <v>6410.8100590000004</v>
      </c>
      <c r="G645" s="4">
        <v>1735520000</v>
      </c>
      <c r="H645">
        <f t="shared" si="10"/>
        <v>3.6035434998323073E-3</v>
      </c>
    </row>
    <row r="646" spans="1:8" x14ac:dyDescent="0.3">
      <c r="A646" s="5">
        <v>42941</v>
      </c>
      <c r="B646" s="6">
        <v>6407.5898440000001</v>
      </c>
      <c r="C646" s="6">
        <v>6425.4501950000003</v>
      </c>
      <c r="D646" s="6">
        <v>6396.8701170000004</v>
      </c>
      <c r="E646" s="6">
        <v>6412.169922</v>
      </c>
      <c r="F646" s="6">
        <v>6412.169922</v>
      </c>
      <c r="G646" s="4">
        <v>1925230000</v>
      </c>
      <c r="H646">
        <f t="shared" si="10"/>
        <v>2.1209781300630292E-4</v>
      </c>
    </row>
    <row r="647" spans="1:8" x14ac:dyDescent="0.3">
      <c r="A647" s="5">
        <v>42942</v>
      </c>
      <c r="B647" s="6">
        <v>6425.9301759999998</v>
      </c>
      <c r="C647" s="6">
        <v>6432.3798829999996</v>
      </c>
      <c r="D647" s="6">
        <v>6416.2998049999997</v>
      </c>
      <c r="E647" s="6">
        <v>6422.75</v>
      </c>
      <c r="F647" s="6">
        <v>6422.75</v>
      </c>
      <c r="G647" s="4">
        <v>1988040000</v>
      </c>
      <c r="H647">
        <f t="shared" si="10"/>
        <v>1.6486398763211527E-3</v>
      </c>
    </row>
    <row r="648" spans="1:8" x14ac:dyDescent="0.3">
      <c r="A648" s="5">
        <v>42943</v>
      </c>
      <c r="B648" s="6">
        <v>6459.7597660000001</v>
      </c>
      <c r="C648" s="6">
        <v>6460.8398440000001</v>
      </c>
      <c r="D648" s="6">
        <v>6318.6201170000004</v>
      </c>
      <c r="E648" s="6">
        <v>6382.1899409999996</v>
      </c>
      <c r="F648" s="6">
        <v>6382.1899409999996</v>
      </c>
      <c r="G648" s="4">
        <v>2483560000</v>
      </c>
      <c r="H648">
        <f t="shared" si="10"/>
        <v>-6.3350854963121778E-3</v>
      </c>
    </row>
    <row r="649" spans="1:8" x14ac:dyDescent="0.3">
      <c r="A649" s="5">
        <v>42944</v>
      </c>
      <c r="B649" s="6">
        <v>6350.2700199999999</v>
      </c>
      <c r="C649" s="6">
        <v>6379.7001950000003</v>
      </c>
      <c r="D649" s="6">
        <v>6337.2202150000003</v>
      </c>
      <c r="E649" s="6">
        <v>6374.6801759999998</v>
      </c>
      <c r="F649" s="6">
        <v>6374.6801759999998</v>
      </c>
      <c r="G649" s="4">
        <v>1860770000</v>
      </c>
      <c r="H649">
        <f t="shared" si="10"/>
        <v>-1.1773680845887252E-3</v>
      </c>
    </row>
    <row r="650" spans="1:8" x14ac:dyDescent="0.3">
      <c r="A650" s="5">
        <v>42947</v>
      </c>
      <c r="B650" s="6">
        <v>6394.6899409999996</v>
      </c>
      <c r="C650" s="6">
        <v>6396.5898440000001</v>
      </c>
      <c r="D650" s="6">
        <v>6338.7900390000004</v>
      </c>
      <c r="E650" s="6">
        <v>6348.1201170000004</v>
      </c>
      <c r="F650" s="6">
        <v>6348.1201170000004</v>
      </c>
      <c r="G650" s="4">
        <v>1891710000</v>
      </c>
      <c r="H650">
        <f t="shared" si="10"/>
        <v>-4.1751968075940211E-3</v>
      </c>
    </row>
    <row r="651" spans="1:8" x14ac:dyDescent="0.3">
      <c r="A651" s="5">
        <v>42948</v>
      </c>
      <c r="B651" s="6">
        <v>6372.1601559999999</v>
      </c>
      <c r="C651" s="6">
        <v>6375.75</v>
      </c>
      <c r="D651" s="6">
        <v>6345.75</v>
      </c>
      <c r="E651" s="6">
        <v>6362.9399409999996</v>
      </c>
      <c r="F651" s="6">
        <v>6362.9399409999996</v>
      </c>
      <c r="G651" s="4">
        <v>1812590000</v>
      </c>
      <c r="H651">
        <f t="shared" si="10"/>
        <v>2.3318009115457341E-3</v>
      </c>
    </row>
    <row r="652" spans="1:8" x14ac:dyDescent="0.3">
      <c r="A652" s="5">
        <v>42949</v>
      </c>
      <c r="B652" s="6">
        <v>6393.1000979999999</v>
      </c>
      <c r="C652" s="6">
        <v>6394.2099609999996</v>
      </c>
      <c r="D652" s="6">
        <v>6313.4301759999998</v>
      </c>
      <c r="E652" s="6">
        <v>6362.6499020000001</v>
      </c>
      <c r="F652" s="6">
        <v>6362.6499020000001</v>
      </c>
      <c r="G652" s="4">
        <v>2104130000</v>
      </c>
      <c r="H652">
        <f t="shared" si="10"/>
        <v>-4.5583584514079913E-5</v>
      </c>
    </row>
    <row r="653" spans="1:8" x14ac:dyDescent="0.3">
      <c r="A653" s="5">
        <v>42950</v>
      </c>
      <c r="B653" s="6">
        <v>6366.2402339999999</v>
      </c>
      <c r="C653" s="6">
        <v>6368.5297849999997</v>
      </c>
      <c r="D653" s="6">
        <v>6331.1401370000003</v>
      </c>
      <c r="E653" s="6">
        <v>6340.3398440000001</v>
      </c>
      <c r="F653" s="6">
        <v>6340.3398440000001</v>
      </c>
      <c r="G653" s="4">
        <v>2113440000</v>
      </c>
      <c r="H653">
        <f t="shared" si="10"/>
        <v>-3.5125716677486206E-3</v>
      </c>
    </row>
    <row r="654" spans="1:8" x14ac:dyDescent="0.3">
      <c r="A654" s="5">
        <v>42951</v>
      </c>
      <c r="B654" s="6">
        <v>6350.7900390000004</v>
      </c>
      <c r="C654" s="6">
        <v>6361.4902339999999</v>
      </c>
      <c r="D654" s="6">
        <v>6329.7299800000001</v>
      </c>
      <c r="E654" s="6">
        <v>6351.5600590000004</v>
      </c>
      <c r="F654" s="6">
        <v>6351.5600590000004</v>
      </c>
      <c r="G654" s="4">
        <v>1907170000</v>
      </c>
      <c r="H654">
        <f t="shared" si="10"/>
        <v>1.7680911461254358E-3</v>
      </c>
    </row>
    <row r="655" spans="1:8" x14ac:dyDescent="0.3">
      <c r="A655" s="5">
        <v>42954</v>
      </c>
      <c r="B655" s="6">
        <v>6361.0600590000004</v>
      </c>
      <c r="C655" s="6">
        <v>6386.0297849999997</v>
      </c>
      <c r="D655" s="6">
        <v>6356.2299800000001</v>
      </c>
      <c r="E655" s="6">
        <v>6383.7700199999999</v>
      </c>
      <c r="F655" s="6">
        <v>6383.7700199999999</v>
      </c>
      <c r="G655" s="4">
        <v>1701550000</v>
      </c>
      <c r="H655">
        <f t="shared" si="10"/>
        <v>5.0583737492852681E-3</v>
      </c>
    </row>
    <row r="656" spans="1:8" x14ac:dyDescent="0.3">
      <c r="A656" s="5">
        <v>42955</v>
      </c>
      <c r="B656" s="6">
        <v>6373.330078</v>
      </c>
      <c r="C656" s="6">
        <v>6423.3500979999999</v>
      </c>
      <c r="D656" s="6">
        <v>6355.8798829999996</v>
      </c>
      <c r="E656" s="6">
        <v>6370.4599609999996</v>
      </c>
      <c r="F656" s="6">
        <v>6370.4599609999996</v>
      </c>
      <c r="G656" s="4">
        <v>1914670000</v>
      </c>
      <c r="H656">
        <f t="shared" si="10"/>
        <v>-2.0871607069412003E-3</v>
      </c>
    </row>
    <row r="657" spans="1:8" x14ac:dyDescent="0.3">
      <c r="A657" s="5">
        <v>42956</v>
      </c>
      <c r="B657" s="6">
        <v>6322.919922</v>
      </c>
      <c r="C657" s="6">
        <v>6355.0400390000004</v>
      </c>
      <c r="D657" s="6">
        <v>6309.4399409999996</v>
      </c>
      <c r="E657" s="6">
        <v>6352.330078</v>
      </c>
      <c r="F657" s="6">
        <v>6352.330078</v>
      </c>
      <c r="G657" s="4">
        <v>2033760000</v>
      </c>
      <c r="H657">
        <f t="shared" si="10"/>
        <v>-2.8499873401948909E-3</v>
      </c>
    </row>
    <row r="658" spans="1:8" x14ac:dyDescent="0.3">
      <c r="A658" s="5">
        <v>42957</v>
      </c>
      <c r="B658" s="6">
        <v>6312.6499020000001</v>
      </c>
      <c r="C658" s="6">
        <v>6318.2797849999997</v>
      </c>
      <c r="D658" s="6">
        <v>6214.4101559999999</v>
      </c>
      <c r="E658" s="6">
        <v>6216.8701170000004</v>
      </c>
      <c r="F658" s="6">
        <v>6216.8701170000004</v>
      </c>
      <c r="G658" s="4">
        <v>2204700000</v>
      </c>
      <c r="H658">
        <f t="shared" si="10"/>
        <v>-2.1555103533999885E-2</v>
      </c>
    </row>
    <row r="659" spans="1:8" x14ac:dyDescent="0.3">
      <c r="A659" s="5">
        <v>42958</v>
      </c>
      <c r="B659" s="6">
        <v>6222.1801759999998</v>
      </c>
      <c r="C659" s="6">
        <v>6266.8901370000003</v>
      </c>
      <c r="D659" s="6">
        <v>6216.1899409999996</v>
      </c>
      <c r="E659" s="6">
        <v>6256.5600590000004</v>
      </c>
      <c r="F659" s="6">
        <v>6256.5600590000004</v>
      </c>
      <c r="G659" s="4">
        <v>1794850000</v>
      </c>
      <c r="H659">
        <f t="shared" si="10"/>
        <v>6.3639392520773701E-3</v>
      </c>
    </row>
    <row r="660" spans="1:8" x14ac:dyDescent="0.3">
      <c r="A660" s="5">
        <v>42961</v>
      </c>
      <c r="B660" s="6">
        <v>6306.1098629999997</v>
      </c>
      <c r="C660" s="6">
        <v>6346.830078</v>
      </c>
      <c r="D660" s="6">
        <v>6305.5498049999997</v>
      </c>
      <c r="E660" s="6">
        <v>6340.2299800000001</v>
      </c>
      <c r="F660" s="6">
        <v>6340.2299800000001</v>
      </c>
      <c r="G660" s="4">
        <v>1698560000</v>
      </c>
      <c r="H660">
        <f t="shared" si="10"/>
        <v>1.3284519505718975E-2</v>
      </c>
    </row>
    <row r="661" spans="1:8" x14ac:dyDescent="0.3">
      <c r="A661" s="5">
        <v>42962</v>
      </c>
      <c r="B661" s="6">
        <v>6350.5097660000001</v>
      </c>
      <c r="C661" s="6">
        <v>6350.7402339999999</v>
      </c>
      <c r="D661" s="6">
        <v>6324.75</v>
      </c>
      <c r="E661" s="6">
        <v>6333.0097660000001</v>
      </c>
      <c r="F661" s="6">
        <v>6333.0097660000001</v>
      </c>
      <c r="G661" s="4">
        <v>1580060000</v>
      </c>
      <c r="H661">
        <f t="shared" si="10"/>
        <v>-1.1394426249157757E-3</v>
      </c>
    </row>
    <row r="662" spans="1:8" x14ac:dyDescent="0.3">
      <c r="A662" s="5">
        <v>42963</v>
      </c>
      <c r="B662" s="6">
        <v>6348.1098629999997</v>
      </c>
      <c r="C662" s="6">
        <v>6374.5600590000004</v>
      </c>
      <c r="D662" s="6">
        <v>6330.2700199999999</v>
      </c>
      <c r="E662" s="6">
        <v>6345.1098629999997</v>
      </c>
      <c r="F662" s="6">
        <v>6345.1098629999997</v>
      </c>
      <c r="G662" s="4">
        <v>1804730000</v>
      </c>
      <c r="H662">
        <f t="shared" si="10"/>
        <v>1.9088162958004556E-3</v>
      </c>
    </row>
    <row r="663" spans="1:8" x14ac:dyDescent="0.3">
      <c r="A663" s="5">
        <v>42964</v>
      </c>
      <c r="B663" s="6">
        <v>6322.7202150000003</v>
      </c>
      <c r="C663" s="6">
        <v>6334.2299800000001</v>
      </c>
      <c r="D663" s="6">
        <v>6221.9101559999999</v>
      </c>
      <c r="E663" s="6">
        <v>6221.9101559999999</v>
      </c>
      <c r="F663" s="6">
        <v>6221.9101559999999</v>
      </c>
      <c r="G663" s="4">
        <v>2041220000</v>
      </c>
      <c r="H663">
        <f t="shared" si="10"/>
        <v>-1.9607457268865921E-2</v>
      </c>
    </row>
    <row r="664" spans="1:8" x14ac:dyDescent="0.3">
      <c r="A664" s="5">
        <v>42965</v>
      </c>
      <c r="B664" s="6">
        <v>6222.4599609999996</v>
      </c>
      <c r="C664" s="6">
        <v>6254.2202150000003</v>
      </c>
      <c r="D664" s="6">
        <v>6193.3798829999996</v>
      </c>
      <c r="E664" s="6">
        <v>6216.5297849999997</v>
      </c>
      <c r="F664" s="6">
        <v>6216.5297849999997</v>
      </c>
      <c r="G664" s="4">
        <v>1964590000</v>
      </c>
      <c r="H664">
        <f t="shared" si="10"/>
        <v>-8.6511996055642121E-4</v>
      </c>
    </row>
    <row r="665" spans="1:8" x14ac:dyDescent="0.3">
      <c r="A665" s="5">
        <v>42968</v>
      </c>
      <c r="B665" s="6">
        <v>6216.3198240000002</v>
      </c>
      <c r="C665" s="6">
        <v>6226.9301759999998</v>
      </c>
      <c r="D665" s="6">
        <v>6177.1899409999996</v>
      </c>
      <c r="E665" s="6">
        <v>6213.1298829999996</v>
      </c>
      <c r="F665" s="6">
        <v>6213.1298829999996</v>
      </c>
      <c r="G665" s="4">
        <v>1576070000</v>
      </c>
      <c r="H665">
        <f t="shared" si="10"/>
        <v>-5.470627797711608E-4</v>
      </c>
    </row>
    <row r="666" spans="1:8" x14ac:dyDescent="0.3">
      <c r="A666" s="5">
        <v>42969</v>
      </c>
      <c r="B666" s="6">
        <v>6241.2099609999996</v>
      </c>
      <c r="C666" s="6">
        <v>6302.8398440000001</v>
      </c>
      <c r="D666" s="6">
        <v>6241.2099609999996</v>
      </c>
      <c r="E666" s="6">
        <v>6297.4799800000001</v>
      </c>
      <c r="F666" s="6">
        <v>6297.4799800000001</v>
      </c>
      <c r="G666" s="4">
        <v>1597700000</v>
      </c>
      <c r="H666">
        <f t="shared" si="10"/>
        <v>1.3484774299400329E-2</v>
      </c>
    </row>
    <row r="667" spans="1:8" x14ac:dyDescent="0.3">
      <c r="A667" s="5">
        <v>42970</v>
      </c>
      <c r="B667" s="6">
        <v>6263.4702150000003</v>
      </c>
      <c r="C667" s="6">
        <v>6291.2998049999997</v>
      </c>
      <c r="D667" s="6">
        <v>6263.2900390000004</v>
      </c>
      <c r="E667" s="6">
        <v>6278.4101559999999</v>
      </c>
      <c r="F667" s="6">
        <v>6278.4101559999999</v>
      </c>
      <c r="G667" s="4">
        <v>1533220000</v>
      </c>
      <c r="H667">
        <f t="shared" si="10"/>
        <v>-3.0327616431477917E-3</v>
      </c>
    </row>
    <row r="668" spans="1:8" x14ac:dyDescent="0.3">
      <c r="A668" s="5">
        <v>42971</v>
      </c>
      <c r="B668" s="6">
        <v>6294.8198240000002</v>
      </c>
      <c r="C668" s="6">
        <v>6302.8500979999999</v>
      </c>
      <c r="D668" s="6">
        <v>6244.5698240000002</v>
      </c>
      <c r="E668" s="6">
        <v>6271.330078</v>
      </c>
      <c r="F668" s="6">
        <v>6271.330078</v>
      </c>
      <c r="G668" s="4">
        <v>1616780000</v>
      </c>
      <c r="H668">
        <f t="shared" si="10"/>
        <v>-1.1283227571457252E-3</v>
      </c>
    </row>
    <row r="669" spans="1:8" x14ac:dyDescent="0.3">
      <c r="A669" s="5">
        <v>42972</v>
      </c>
      <c r="B669" s="6">
        <v>6293.8100590000004</v>
      </c>
      <c r="C669" s="6">
        <v>6308.7202150000003</v>
      </c>
      <c r="D669" s="6">
        <v>6257.1000979999999</v>
      </c>
      <c r="E669" s="6">
        <v>6265.6401370000003</v>
      </c>
      <c r="F669" s="6">
        <v>6265.6401370000003</v>
      </c>
      <c r="G669" s="4">
        <v>1442900000</v>
      </c>
      <c r="H669">
        <f t="shared" si="10"/>
        <v>-9.0770597570187061E-4</v>
      </c>
    </row>
    <row r="670" spans="1:8" x14ac:dyDescent="0.3">
      <c r="A670" s="5">
        <v>42975</v>
      </c>
      <c r="B670" s="6">
        <v>6286.0097660000001</v>
      </c>
      <c r="C670" s="6">
        <v>6292.2597660000001</v>
      </c>
      <c r="D670" s="6">
        <v>6267.8500979999999</v>
      </c>
      <c r="E670" s="6">
        <v>6283.0200199999999</v>
      </c>
      <c r="F670" s="6">
        <v>6283.0200199999999</v>
      </c>
      <c r="G670" s="4">
        <v>1558690000</v>
      </c>
      <c r="H670">
        <f t="shared" si="10"/>
        <v>2.7699999673901224E-3</v>
      </c>
    </row>
    <row r="671" spans="1:8" x14ac:dyDescent="0.3">
      <c r="A671" s="5">
        <v>42976</v>
      </c>
      <c r="B671" s="6">
        <v>6228.8999020000001</v>
      </c>
      <c r="C671" s="6">
        <v>6311.2597660000001</v>
      </c>
      <c r="D671" s="6">
        <v>6228.7299800000001</v>
      </c>
      <c r="E671" s="6">
        <v>6301.8901370000003</v>
      </c>
      <c r="F671" s="6">
        <v>6301.8901370000003</v>
      </c>
      <c r="G671" s="4">
        <v>1637640000</v>
      </c>
      <c r="H671">
        <f t="shared" si="10"/>
        <v>2.9988503543262042E-3</v>
      </c>
    </row>
    <row r="672" spans="1:8" x14ac:dyDescent="0.3">
      <c r="A672" s="5">
        <v>42977</v>
      </c>
      <c r="B672" s="6">
        <v>6308.6801759999998</v>
      </c>
      <c r="C672" s="6">
        <v>6374.4702150000003</v>
      </c>
      <c r="D672" s="6">
        <v>6303.5698240000002</v>
      </c>
      <c r="E672" s="6">
        <v>6368.3100590000004</v>
      </c>
      <c r="F672" s="6">
        <v>6368.3100590000004</v>
      </c>
      <c r="G672" s="4">
        <v>1712070000</v>
      </c>
      <c r="H672">
        <f t="shared" si="10"/>
        <v>1.0484527380357343E-2</v>
      </c>
    </row>
    <row r="673" spans="1:8" x14ac:dyDescent="0.3">
      <c r="A673" s="5">
        <v>42978</v>
      </c>
      <c r="B673" s="6">
        <v>6385.7998049999997</v>
      </c>
      <c r="C673" s="6">
        <v>6435.2700199999999</v>
      </c>
      <c r="D673" s="6">
        <v>6383.580078</v>
      </c>
      <c r="E673" s="6">
        <v>6428.6601559999999</v>
      </c>
      <c r="F673" s="6">
        <v>6428.6601559999999</v>
      </c>
      <c r="G673" s="4">
        <v>1885710000</v>
      </c>
      <c r="H673">
        <f t="shared" si="10"/>
        <v>9.4320051378514128E-3</v>
      </c>
    </row>
    <row r="674" spans="1:8" x14ac:dyDescent="0.3">
      <c r="A674" s="5">
        <v>42979</v>
      </c>
      <c r="B674" s="6">
        <v>6442.169922</v>
      </c>
      <c r="C674" s="6">
        <v>6449.6499020000001</v>
      </c>
      <c r="D674" s="6">
        <v>6417.8701170000004</v>
      </c>
      <c r="E674" s="6">
        <v>6435.330078</v>
      </c>
      <c r="F674" s="6">
        <v>6435.330078</v>
      </c>
      <c r="G674" s="4">
        <v>1488040000</v>
      </c>
      <c r="H674">
        <f t="shared" si="10"/>
        <v>1.0369912408794196E-3</v>
      </c>
    </row>
    <row r="675" spans="1:8" x14ac:dyDescent="0.3">
      <c r="A675" s="5">
        <v>42983</v>
      </c>
      <c r="B675" s="6">
        <v>6414.8198240000002</v>
      </c>
      <c r="C675" s="6">
        <v>6426.5097660000001</v>
      </c>
      <c r="D675" s="6">
        <v>6334.5898440000001</v>
      </c>
      <c r="E675" s="6">
        <v>6375.5698240000002</v>
      </c>
      <c r="F675" s="6">
        <v>6375.5698240000002</v>
      </c>
      <c r="G675" s="4">
        <v>1886950000</v>
      </c>
      <c r="H675">
        <f t="shared" si="10"/>
        <v>-9.3296626982561238E-3</v>
      </c>
    </row>
    <row r="676" spans="1:8" x14ac:dyDescent="0.3">
      <c r="A676" s="5">
        <v>42984</v>
      </c>
      <c r="B676" s="6">
        <v>6394.3500979999999</v>
      </c>
      <c r="C676" s="6">
        <v>6407.3999020000001</v>
      </c>
      <c r="D676" s="6">
        <v>6356.2001950000003</v>
      </c>
      <c r="E676" s="6">
        <v>6393.3100590000004</v>
      </c>
      <c r="F676" s="6">
        <v>6393.3100590000004</v>
      </c>
      <c r="G676" s="4">
        <v>1906030000</v>
      </c>
      <c r="H676">
        <f t="shared" si="10"/>
        <v>2.7786691670557569E-3</v>
      </c>
    </row>
    <row r="677" spans="1:8" x14ac:dyDescent="0.3">
      <c r="A677" s="5">
        <v>42985</v>
      </c>
      <c r="B677" s="6">
        <v>6402.9399409999996</v>
      </c>
      <c r="C677" s="6">
        <v>6413.0698240000002</v>
      </c>
      <c r="D677" s="6">
        <v>6379.8100590000004</v>
      </c>
      <c r="E677" s="6">
        <v>6397.8701170000004</v>
      </c>
      <c r="F677" s="6">
        <v>6397.8701170000004</v>
      </c>
      <c r="G677" s="4">
        <v>1998380000</v>
      </c>
      <c r="H677">
        <f t="shared" si="10"/>
        <v>7.1300038470855482E-4</v>
      </c>
    </row>
    <row r="678" spans="1:8" x14ac:dyDescent="0.3">
      <c r="A678" s="5">
        <v>42986</v>
      </c>
      <c r="B678" s="6">
        <v>6389.6499020000001</v>
      </c>
      <c r="C678" s="6">
        <v>6391.4101559999999</v>
      </c>
      <c r="D678" s="6">
        <v>6354.9599609999996</v>
      </c>
      <c r="E678" s="6">
        <v>6360.1899409999996</v>
      </c>
      <c r="F678" s="6">
        <v>6360.1899409999996</v>
      </c>
      <c r="G678" s="4">
        <v>1785560000</v>
      </c>
      <c r="H678">
        <f t="shared" si="10"/>
        <v>-5.9068989154019407E-3</v>
      </c>
    </row>
    <row r="679" spans="1:8" x14ac:dyDescent="0.3">
      <c r="A679" s="5">
        <v>42989</v>
      </c>
      <c r="B679" s="6">
        <v>6411.1801759999998</v>
      </c>
      <c r="C679" s="6">
        <v>6439.1098629999997</v>
      </c>
      <c r="D679" s="6">
        <v>6410.7099609999996</v>
      </c>
      <c r="E679" s="6">
        <v>6432.2597660000001</v>
      </c>
      <c r="F679" s="6">
        <v>6432.2597660000001</v>
      </c>
      <c r="G679" s="4">
        <v>1819300000</v>
      </c>
      <c r="H679">
        <f t="shared" si="10"/>
        <v>1.1267675722938127E-2</v>
      </c>
    </row>
    <row r="680" spans="1:8" x14ac:dyDescent="0.3">
      <c r="A680" s="5">
        <v>42990</v>
      </c>
      <c r="B680" s="6">
        <v>6448.8100590000004</v>
      </c>
      <c r="C680" s="6">
        <v>6455.0297849999997</v>
      </c>
      <c r="D680" s="6">
        <v>6429.5400390000004</v>
      </c>
      <c r="E680" s="6">
        <v>6454.2797849999997</v>
      </c>
      <c r="F680" s="6">
        <v>6454.2797849999997</v>
      </c>
      <c r="G680" s="4">
        <v>1745090000</v>
      </c>
      <c r="H680">
        <f t="shared" si="10"/>
        <v>3.4175257592958803E-3</v>
      </c>
    </row>
    <row r="681" spans="1:8" x14ac:dyDescent="0.3">
      <c r="A681" s="5">
        <v>42991</v>
      </c>
      <c r="B681" s="6">
        <v>6440.7202150000003</v>
      </c>
      <c r="C681" s="6">
        <v>6460.419922</v>
      </c>
      <c r="D681" s="6">
        <v>6433.2001950000003</v>
      </c>
      <c r="E681" s="6">
        <v>6460.1899409999996</v>
      </c>
      <c r="F681" s="6">
        <v>6460.1899409999996</v>
      </c>
      <c r="G681" s="4">
        <v>1942090000</v>
      </c>
      <c r="H681">
        <f t="shared" si="10"/>
        <v>9.1527666841716474E-4</v>
      </c>
    </row>
    <row r="682" spans="1:8" x14ac:dyDescent="0.3">
      <c r="A682" s="5">
        <v>42992</v>
      </c>
      <c r="B682" s="6">
        <v>6439.4599609999996</v>
      </c>
      <c r="C682" s="6">
        <v>6455.3198240000002</v>
      </c>
      <c r="D682" s="6">
        <v>6424.0400390000004</v>
      </c>
      <c r="E682" s="6">
        <v>6429.080078</v>
      </c>
      <c r="F682" s="6">
        <v>6429.080078</v>
      </c>
      <c r="G682" s="4">
        <v>1809170000</v>
      </c>
      <c r="H682">
        <f t="shared" si="10"/>
        <v>-4.8272591644683985E-3</v>
      </c>
    </row>
    <row r="683" spans="1:8" x14ac:dyDescent="0.3">
      <c r="A683" s="5">
        <v>42993</v>
      </c>
      <c r="B683" s="6">
        <v>6426.1601559999999</v>
      </c>
      <c r="C683" s="6">
        <v>6464.2700199999999</v>
      </c>
      <c r="D683" s="6">
        <v>6419.6499020000001</v>
      </c>
      <c r="E683" s="6">
        <v>6448.4702150000003</v>
      </c>
      <c r="F683" s="6">
        <v>6448.4702150000003</v>
      </c>
      <c r="G683" s="4">
        <v>2821110000</v>
      </c>
      <c r="H683">
        <f t="shared" si="10"/>
        <v>3.0114658786487471E-3</v>
      </c>
    </row>
    <row r="684" spans="1:8" x14ac:dyDescent="0.3">
      <c r="A684" s="5">
        <v>42996</v>
      </c>
      <c r="B684" s="6">
        <v>6460.1000979999999</v>
      </c>
      <c r="C684" s="6">
        <v>6477.7700199999999</v>
      </c>
      <c r="D684" s="6">
        <v>6438.4101559999999</v>
      </c>
      <c r="E684" s="6">
        <v>6454.6401370000003</v>
      </c>
      <c r="F684" s="6">
        <v>6454.6401370000003</v>
      </c>
      <c r="G684" s="4">
        <v>1874440000</v>
      </c>
      <c r="H684">
        <f t="shared" si="10"/>
        <v>9.5634654000990751E-4</v>
      </c>
    </row>
    <row r="685" spans="1:8" x14ac:dyDescent="0.3">
      <c r="A685" s="5">
        <v>42997</v>
      </c>
      <c r="B685" s="6">
        <v>6465.5698240000002</v>
      </c>
      <c r="C685" s="6">
        <v>6467.7900390000004</v>
      </c>
      <c r="D685" s="6">
        <v>6446.75</v>
      </c>
      <c r="E685" s="6">
        <v>6461.3198240000002</v>
      </c>
      <c r="F685" s="6">
        <v>6461.3198240000002</v>
      </c>
      <c r="G685" s="4">
        <v>1809710000</v>
      </c>
      <c r="H685">
        <f t="shared" si="10"/>
        <v>1.0343307993654581E-3</v>
      </c>
    </row>
    <row r="686" spans="1:8" x14ac:dyDescent="0.3">
      <c r="A686" s="5">
        <v>42998</v>
      </c>
      <c r="B686" s="6">
        <v>6459.7402339999999</v>
      </c>
      <c r="C686" s="6">
        <v>6466.0498049999997</v>
      </c>
      <c r="D686" s="6">
        <v>6414.2299800000001</v>
      </c>
      <c r="E686" s="6">
        <v>6456.0400390000004</v>
      </c>
      <c r="F686" s="6">
        <v>6456.0400390000004</v>
      </c>
      <c r="G686" s="4">
        <v>2052520000</v>
      </c>
      <c r="H686">
        <f t="shared" si="10"/>
        <v>-8.1747127122234532E-4</v>
      </c>
    </row>
    <row r="687" spans="1:8" x14ac:dyDescent="0.3">
      <c r="A687" s="5">
        <v>42999</v>
      </c>
      <c r="B687" s="6">
        <v>6448.5698240000002</v>
      </c>
      <c r="C687" s="6">
        <v>6448.5698240000002</v>
      </c>
      <c r="D687" s="6">
        <v>6405.2998049999997</v>
      </c>
      <c r="E687" s="6">
        <v>6422.6899409999996</v>
      </c>
      <c r="F687" s="6">
        <v>6422.6899409999996</v>
      </c>
      <c r="G687" s="4">
        <v>1772790000</v>
      </c>
      <c r="H687">
        <f t="shared" si="10"/>
        <v>-5.1791089025136038E-3</v>
      </c>
    </row>
    <row r="688" spans="1:8" x14ac:dyDescent="0.3">
      <c r="A688" s="5">
        <v>43000</v>
      </c>
      <c r="B688" s="6">
        <v>6401.4399409999996</v>
      </c>
      <c r="C688" s="6">
        <v>6429.5400390000004</v>
      </c>
      <c r="D688" s="6">
        <v>6400.8100590000004</v>
      </c>
      <c r="E688" s="6">
        <v>6426.919922</v>
      </c>
      <c r="F688" s="6">
        <v>6426.919922</v>
      </c>
      <c r="G688" s="4">
        <v>1639100000</v>
      </c>
      <c r="H688">
        <f t="shared" si="10"/>
        <v>6.5838281440399075E-4</v>
      </c>
    </row>
    <row r="689" spans="1:8" x14ac:dyDescent="0.3">
      <c r="A689" s="5">
        <v>43003</v>
      </c>
      <c r="B689" s="6">
        <v>6403.1098629999997</v>
      </c>
      <c r="C689" s="6">
        <v>6408.0498049999997</v>
      </c>
      <c r="D689" s="6">
        <v>6343.9599609999996</v>
      </c>
      <c r="E689" s="6">
        <v>6370.5898440000001</v>
      </c>
      <c r="F689" s="6">
        <v>6370.5898440000001</v>
      </c>
      <c r="G689" s="4">
        <v>2050410000</v>
      </c>
      <c r="H689">
        <f t="shared" si="10"/>
        <v>-8.803344216591286E-3</v>
      </c>
    </row>
    <row r="690" spans="1:8" x14ac:dyDescent="0.3">
      <c r="A690" s="5">
        <v>43004</v>
      </c>
      <c r="B690" s="6">
        <v>6391.8500979999999</v>
      </c>
      <c r="C690" s="6">
        <v>6405</v>
      </c>
      <c r="D690" s="6">
        <v>6364.5698240000002</v>
      </c>
      <c r="E690" s="6">
        <v>6380.1601559999999</v>
      </c>
      <c r="F690" s="6">
        <v>6380.1601559999999</v>
      </c>
      <c r="G690" s="4">
        <v>1926420000</v>
      </c>
      <c r="H690">
        <f t="shared" si="10"/>
        <v>1.5011373914720564E-3</v>
      </c>
    </row>
    <row r="691" spans="1:8" x14ac:dyDescent="0.3">
      <c r="A691" s="5">
        <v>43005</v>
      </c>
      <c r="B691" s="6">
        <v>6414.3701170000004</v>
      </c>
      <c r="C691" s="6">
        <v>6472.6499020000001</v>
      </c>
      <c r="D691" s="6">
        <v>6405.3598629999997</v>
      </c>
      <c r="E691" s="6">
        <v>6453.2597660000001</v>
      </c>
      <c r="F691" s="6">
        <v>6453.2597660000001</v>
      </c>
      <c r="G691" s="4">
        <v>2053720000</v>
      </c>
      <c r="H691">
        <f t="shared" si="10"/>
        <v>1.1392193355703224E-2</v>
      </c>
    </row>
    <row r="692" spans="1:8" x14ac:dyDescent="0.3">
      <c r="A692" s="5">
        <v>43006</v>
      </c>
      <c r="B692" s="6">
        <v>6437.9599609999996</v>
      </c>
      <c r="C692" s="6">
        <v>6456.2299800000001</v>
      </c>
      <c r="D692" s="6">
        <v>6427.6601559999999</v>
      </c>
      <c r="E692" s="6">
        <v>6453.4501950000003</v>
      </c>
      <c r="F692" s="6">
        <v>6453.4501950000003</v>
      </c>
      <c r="G692" s="4">
        <v>1828570000</v>
      </c>
      <c r="H692">
        <f t="shared" si="10"/>
        <v>2.9508527051389581E-5</v>
      </c>
    </row>
    <row r="693" spans="1:8" x14ac:dyDescent="0.3">
      <c r="A693" s="5">
        <v>43007</v>
      </c>
      <c r="B693" s="6">
        <v>6461.2797849999997</v>
      </c>
      <c r="C693" s="6">
        <v>6497.9799800000001</v>
      </c>
      <c r="D693" s="6">
        <v>6454.8598629999997</v>
      </c>
      <c r="E693" s="6">
        <v>6495.9599609999996</v>
      </c>
      <c r="F693" s="6">
        <v>6495.9599609999996</v>
      </c>
      <c r="G693" s="4">
        <v>1967720000</v>
      </c>
      <c r="H693">
        <f t="shared" si="10"/>
        <v>6.5655374555198777E-3</v>
      </c>
    </row>
    <row r="694" spans="1:8" x14ac:dyDescent="0.3">
      <c r="A694" s="5">
        <v>43010</v>
      </c>
      <c r="B694" s="6">
        <v>6506.080078</v>
      </c>
      <c r="C694" s="6">
        <v>6527.2202150000003</v>
      </c>
      <c r="D694" s="6">
        <v>6484.1401370000003</v>
      </c>
      <c r="E694" s="6">
        <v>6516.7202150000003</v>
      </c>
      <c r="F694" s="6">
        <v>6516.7202150000003</v>
      </c>
      <c r="G694" s="4">
        <v>1977030000</v>
      </c>
      <c r="H694">
        <f t="shared" si="10"/>
        <v>3.1907756638357102E-3</v>
      </c>
    </row>
    <row r="695" spans="1:8" x14ac:dyDescent="0.3">
      <c r="A695" s="5">
        <v>43011</v>
      </c>
      <c r="B695" s="6">
        <v>6523.7402339999999</v>
      </c>
      <c r="C695" s="6">
        <v>6532.1801759999998</v>
      </c>
      <c r="D695" s="6">
        <v>6509.7099609999996</v>
      </c>
      <c r="E695" s="6">
        <v>6531.7099609999996</v>
      </c>
      <c r="F695" s="6">
        <v>6531.7099609999996</v>
      </c>
      <c r="G695" s="4">
        <v>1969320000</v>
      </c>
      <c r="H695">
        <f t="shared" si="10"/>
        <v>2.297556471048374E-3</v>
      </c>
    </row>
    <row r="696" spans="1:8" x14ac:dyDescent="0.3">
      <c r="A696" s="5">
        <v>43012</v>
      </c>
      <c r="B696" s="6">
        <v>6521.9599609999996</v>
      </c>
      <c r="C696" s="6">
        <v>6546.4599609999996</v>
      </c>
      <c r="D696" s="6">
        <v>6513.1201170000004</v>
      </c>
      <c r="E696" s="6">
        <v>6534.6298829999996</v>
      </c>
      <c r="F696" s="6">
        <v>6534.6298829999996</v>
      </c>
      <c r="G696" s="4">
        <v>1938440000</v>
      </c>
      <c r="H696">
        <f t="shared" si="10"/>
        <v>4.4693802296075409E-4</v>
      </c>
    </row>
    <row r="697" spans="1:8" x14ac:dyDescent="0.3">
      <c r="A697" s="5">
        <v>43013</v>
      </c>
      <c r="B697" s="6">
        <v>6552.8701170000004</v>
      </c>
      <c r="C697" s="6">
        <v>6587.2099609999996</v>
      </c>
      <c r="D697" s="6">
        <v>6547.6499020000001</v>
      </c>
      <c r="E697" s="6">
        <v>6585.3598629999997</v>
      </c>
      <c r="F697" s="6">
        <v>6585.3598629999997</v>
      </c>
      <c r="G697" s="4">
        <v>1875670000</v>
      </c>
      <c r="H697">
        <f t="shared" si="10"/>
        <v>7.733273241997048E-3</v>
      </c>
    </row>
    <row r="698" spans="1:8" x14ac:dyDescent="0.3">
      <c r="A698" s="5">
        <v>43014</v>
      </c>
      <c r="B698" s="6">
        <v>6566.9501950000003</v>
      </c>
      <c r="C698" s="6">
        <v>6590.1801759999998</v>
      </c>
      <c r="D698" s="6">
        <v>6566.8398440000001</v>
      </c>
      <c r="E698" s="6">
        <v>6590.1801759999998</v>
      </c>
      <c r="F698" s="6">
        <v>6590.1801759999998</v>
      </c>
      <c r="G698" s="4">
        <v>1742470000</v>
      </c>
      <c r="H698">
        <f t="shared" si="10"/>
        <v>7.317063590253607E-4</v>
      </c>
    </row>
    <row r="699" spans="1:8" x14ac:dyDescent="0.3">
      <c r="A699" s="5">
        <v>43017</v>
      </c>
      <c r="B699" s="6">
        <v>6597.3701170000004</v>
      </c>
      <c r="C699" s="6">
        <v>6599.3398440000001</v>
      </c>
      <c r="D699" s="6">
        <v>6572.4399409999996</v>
      </c>
      <c r="E699" s="6">
        <v>6579.7299800000001</v>
      </c>
      <c r="F699" s="6">
        <v>6579.7299800000001</v>
      </c>
      <c r="G699" s="4">
        <v>1490620000</v>
      </c>
      <c r="H699">
        <f t="shared" si="10"/>
        <v>-1.5869809390432676E-3</v>
      </c>
    </row>
    <row r="700" spans="1:8" x14ac:dyDescent="0.3">
      <c r="A700" s="5">
        <v>43018</v>
      </c>
      <c r="B700" s="6">
        <v>6602.4902339999999</v>
      </c>
      <c r="C700" s="6">
        <v>6608.2998049999997</v>
      </c>
      <c r="D700" s="6">
        <v>6561.7797849999997</v>
      </c>
      <c r="E700" s="6">
        <v>6587.25</v>
      </c>
      <c r="F700" s="6">
        <v>6587.25</v>
      </c>
      <c r="G700" s="4">
        <v>1799400000</v>
      </c>
      <c r="H700">
        <f t="shared" si="10"/>
        <v>1.1422544621568689E-3</v>
      </c>
    </row>
    <row r="701" spans="1:8" x14ac:dyDescent="0.3">
      <c r="A701" s="5">
        <v>43019</v>
      </c>
      <c r="B701" s="6">
        <v>6586.7299800000001</v>
      </c>
      <c r="C701" s="6">
        <v>6604.2099609999996</v>
      </c>
      <c r="D701" s="6">
        <v>6577.9902339999999</v>
      </c>
      <c r="E701" s="6">
        <v>6603.5498049999997</v>
      </c>
      <c r="F701" s="6">
        <v>6603.5498049999997</v>
      </c>
      <c r="G701" s="4">
        <v>1830360000</v>
      </c>
      <c r="H701">
        <f t="shared" si="10"/>
        <v>2.4713912025431835E-3</v>
      </c>
    </row>
    <row r="702" spans="1:8" x14ac:dyDescent="0.3">
      <c r="A702" s="5">
        <v>43020</v>
      </c>
      <c r="B702" s="6">
        <v>6594.7597660000001</v>
      </c>
      <c r="C702" s="6">
        <v>6613.5</v>
      </c>
      <c r="D702" s="6">
        <v>6586.3198240000002</v>
      </c>
      <c r="E702" s="6">
        <v>6591.5097660000001</v>
      </c>
      <c r="F702" s="6">
        <v>6591.5097660000001</v>
      </c>
      <c r="G702" s="4">
        <v>2000470000</v>
      </c>
      <c r="H702">
        <f t="shared" si="10"/>
        <v>-1.8249318658552054E-3</v>
      </c>
    </row>
    <row r="703" spans="1:8" x14ac:dyDescent="0.3">
      <c r="A703" s="5">
        <v>43021</v>
      </c>
      <c r="B703" s="6">
        <v>6613.2099609999996</v>
      </c>
      <c r="C703" s="6">
        <v>6616.580078</v>
      </c>
      <c r="D703" s="6">
        <v>6602.2001950000003</v>
      </c>
      <c r="E703" s="6">
        <v>6605.7998049999997</v>
      </c>
      <c r="F703" s="6">
        <v>6605.7998049999997</v>
      </c>
      <c r="G703" s="4">
        <v>1756150000</v>
      </c>
      <c r="H703">
        <f t="shared" si="10"/>
        <v>2.1655996637695591E-3</v>
      </c>
    </row>
    <row r="704" spans="1:8" x14ac:dyDescent="0.3">
      <c r="A704" s="5">
        <v>43024</v>
      </c>
      <c r="B704" s="6">
        <v>6622.5498049999997</v>
      </c>
      <c r="C704" s="6">
        <v>6632.5</v>
      </c>
      <c r="D704" s="6">
        <v>6607.0297849999997</v>
      </c>
      <c r="E704" s="6">
        <v>6624</v>
      </c>
      <c r="F704" s="6">
        <v>6624</v>
      </c>
      <c r="G704" s="4">
        <v>1629480000</v>
      </c>
      <c r="H704">
        <f t="shared" si="10"/>
        <v>2.7513955993014863E-3</v>
      </c>
    </row>
    <row r="705" spans="1:8" x14ac:dyDescent="0.3">
      <c r="A705" s="5">
        <v>43025</v>
      </c>
      <c r="B705" s="6">
        <v>6621.419922</v>
      </c>
      <c r="C705" s="6">
        <v>6628.6000979999999</v>
      </c>
      <c r="D705" s="6">
        <v>6613.2099609999996</v>
      </c>
      <c r="E705" s="6">
        <v>6623.6601559999999</v>
      </c>
      <c r="F705" s="6">
        <v>6623.6601559999999</v>
      </c>
      <c r="G705" s="4">
        <v>1647240000</v>
      </c>
      <c r="H705">
        <f t="shared" si="10"/>
        <v>-5.1306267834862171E-5</v>
      </c>
    </row>
    <row r="706" spans="1:8" x14ac:dyDescent="0.3">
      <c r="A706" s="5">
        <v>43026</v>
      </c>
      <c r="B706" s="6">
        <v>6634.2597660000001</v>
      </c>
      <c r="C706" s="6">
        <v>6635.5200199999999</v>
      </c>
      <c r="D706" s="6">
        <v>6613.5498049999997</v>
      </c>
      <c r="E706" s="6">
        <v>6624.2202150000003</v>
      </c>
      <c r="F706" s="6">
        <v>6624.2202150000003</v>
      </c>
      <c r="G706" s="4">
        <v>1734030000</v>
      </c>
      <c r="H706">
        <f t="shared" si="10"/>
        <v>8.4550733347587336E-5</v>
      </c>
    </row>
    <row r="707" spans="1:8" x14ac:dyDescent="0.3">
      <c r="A707" s="5">
        <v>43027</v>
      </c>
      <c r="B707" s="6">
        <v>6583.7001950000003</v>
      </c>
      <c r="C707" s="6">
        <v>6605.2900390000004</v>
      </c>
      <c r="D707" s="6">
        <v>6558.5297849999997</v>
      </c>
      <c r="E707" s="6">
        <v>6605.0698240000002</v>
      </c>
      <c r="F707" s="6">
        <v>6605.0698240000002</v>
      </c>
      <c r="G707" s="4">
        <v>1823860000</v>
      </c>
      <c r="H707">
        <f t="shared" si="10"/>
        <v>-2.8951522447450955E-3</v>
      </c>
    </row>
    <row r="708" spans="1:8" x14ac:dyDescent="0.3">
      <c r="A708" s="5">
        <v>43028</v>
      </c>
      <c r="B708" s="6">
        <v>6633.3701170000004</v>
      </c>
      <c r="C708" s="6">
        <v>6640.0297849999997</v>
      </c>
      <c r="D708" s="6">
        <v>6622.919922</v>
      </c>
      <c r="E708" s="6">
        <v>6629.0498049999997</v>
      </c>
      <c r="F708" s="6">
        <v>6629.0498049999997</v>
      </c>
      <c r="G708" s="4">
        <v>1794810000</v>
      </c>
      <c r="H708">
        <f t="shared" ref="H708:H771" si="11">LN(E708/E707)</f>
        <v>3.6239671268820843E-3</v>
      </c>
    </row>
    <row r="709" spans="1:8" x14ac:dyDescent="0.3">
      <c r="A709" s="5">
        <v>43031</v>
      </c>
      <c r="B709" s="6">
        <v>6641.5698240000002</v>
      </c>
      <c r="C709" s="6">
        <v>6641.5698240000002</v>
      </c>
      <c r="D709" s="6">
        <v>6581.1499020000001</v>
      </c>
      <c r="E709" s="6">
        <v>6586.830078</v>
      </c>
      <c r="F709" s="6">
        <v>6586.830078</v>
      </c>
      <c r="G709" s="4">
        <v>1809320000</v>
      </c>
      <c r="H709">
        <f t="shared" si="11"/>
        <v>-6.3892636737889596E-3</v>
      </c>
    </row>
    <row r="710" spans="1:8" x14ac:dyDescent="0.3">
      <c r="A710" s="5">
        <v>43032</v>
      </c>
      <c r="B710" s="6">
        <v>6598.6098629999997</v>
      </c>
      <c r="C710" s="6">
        <v>6611.8999020000001</v>
      </c>
      <c r="D710" s="6">
        <v>6582.0600590000004</v>
      </c>
      <c r="E710" s="6">
        <v>6598.4301759999998</v>
      </c>
      <c r="F710" s="6">
        <v>6598.4301759999998</v>
      </c>
      <c r="G710" s="4">
        <v>1842640000</v>
      </c>
      <c r="H710">
        <f t="shared" si="11"/>
        <v>1.7595558630466486E-3</v>
      </c>
    </row>
    <row r="711" spans="1:8" x14ac:dyDescent="0.3">
      <c r="A711" s="5">
        <v>43033</v>
      </c>
      <c r="B711" s="6">
        <v>6587.2202150000003</v>
      </c>
      <c r="C711" s="6">
        <v>6600.6401370000003</v>
      </c>
      <c r="D711" s="6">
        <v>6517.9301759999998</v>
      </c>
      <c r="E711" s="6">
        <v>6563.8901370000003</v>
      </c>
      <c r="F711" s="6">
        <v>6563.8901370000003</v>
      </c>
      <c r="G711" s="4">
        <v>2190720000</v>
      </c>
      <c r="H711">
        <f t="shared" si="11"/>
        <v>-5.2483327350148655E-3</v>
      </c>
    </row>
    <row r="712" spans="1:8" x14ac:dyDescent="0.3">
      <c r="A712" s="5">
        <v>43034</v>
      </c>
      <c r="B712" s="6">
        <v>6567.5898440000001</v>
      </c>
      <c r="C712" s="6">
        <v>6582.7597660000001</v>
      </c>
      <c r="D712" s="6">
        <v>6550.0297849999997</v>
      </c>
      <c r="E712" s="6">
        <v>6556.7700199999999</v>
      </c>
      <c r="F712" s="6">
        <v>6556.7700199999999</v>
      </c>
      <c r="G712" s="4">
        <v>2108210000</v>
      </c>
      <c r="H712">
        <f t="shared" si="11"/>
        <v>-1.0853291852276348E-3</v>
      </c>
    </row>
    <row r="713" spans="1:8" x14ac:dyDescent="0.3">
      <c r="A713" s="5">
        <v>43035</v>
      </c>
      <c r="B713" s="6">
        <v>6635.0297849999997</v>
      </c>
      <c r="C713" s="6">
        <v>6708.1298829999996</v>
      </c>
      <c r="D713" s="6">
        <v>6625.7797849999997</v>
      </c>
      <c r="E713" s="6">
        <v>6701.2597660000001</v>
      </c>
      <c r="F713" s="6">
        <v>6701.2597660000001</v>
      </c>
      <c r="G713" s="4">
        <v>2403600000</v>
      </c>
      <c r="H713">
        <f t="shared" si="11"/>
        <v>2.1797426798973677E-2</v>
      </c>
    </row>
    <row r="714" spans="1:8" x14ac:dyDescent="0.3">
      <c r="A714" s="5">
        <v>43038</v>
      </c>
      <c r="B714" s="6">
        <v>6693.7700199999999</v>
      </c>
      <c r="C714" s="6">
        <v>6727.3901370000003</v>
      </c>
      <c r="D714" s="6">
        <v>6677.1499020000001</v>
      </c>
      <c r="E714" s="6">
        <v>6698.9599609999996</v>
      </c>
      <c r="F714" s="6">
        <v>6698.9599609999996</v>
      </c>
      <c r="G714" s="4">
        <v>2013640000</v>
      </c>
      <c r="H714">
        <f t="shared" si="11"/>
        <v>-3.4324885254635192E-4</v>
      </c>
    </row>
    <row r="715" spans="1:8" x14ac:dyDescent="0.3">
      <c r="A715" s="5">
        <v>43039</v>
      </c>
      <c r="B715" s="6">
        <v>6713.7099609999996</v>
      </c>
      <c r="C715" s="6">
        <v>6737.75</v>
      </c>
      <c r="D715" s="6">
        <v>6705.7900390000004</v>
      </c>
      <c r="E715" s="6">
        <v>6727.669922</v>
      </c>
      <c r="F715" s="6">
        <v>6727.669922</v>
      </c>
      <c r="G715" s="4">
        <v>2043890000</v>
      </c>
      <c r="H715">
        <f t="shared" si="11"/>
        <v>4.276576476270535E-3</v>
      </c>
    </row>
    <row r="716" spans="1:8" x14ac:dyDescent="0.3">
      <c r="A716" s="5">
        <v>43040</v>
      </c>
      <c r="B716" s="6">
        <v>6758.6401370000003</v>
      </c>
      <c r="C716" s="6">
        <v>6759.6601559999999</v>
      </c>
      <c r="D716" s="6">
        <v>6691.4799800000001</v>
      </c>
      <c r="E716" s="6">
        <v>6716.5297849999997</v>
      </c>
      <c r="F716" s="6">
        <v>6716.5297849999997</v>
      </c>
      <c r="G716" s="4">
        <v>2056860000</v>
      </c>
      <c r="H716">
        <f t="shared" si="11"/>
        <v>-1.6572410098684123E-3</v>
      </c>
    </row>
    <row r="717" spans="1:8" x14ac:dyDescent="0.3">
      <c r="A717" s="5">
        <v>43041</v>
      </c>
      <c r="B717" s="6">
        <v>6709.3901370000003</v>
      </c>
      <c r="C717" s="6">
        <v>6719.9702150000003</v>
      </c>
      <c r="D717" s="6">
        <v>6677.5498049999997</v>
      </c>
      <c r="E717" s="6">
        <v>6714.9399409999996</v>
      </c>
      <c r="F717" s="6">
        <v>6714.9399409999996</v>
      </c>
      <c r="G717" s="4">
        <v>2262940000</v>
      </c>
      <c r="H717">
        <f t="shared" si="11"/>
        <v>-2.3673418320671242E-4</v>
      </c>
    </row>
    <row r="718" spans="1:8" x14ac:dyDescent="0.3">
      <c r="A718" s="5">
        <v>43042</v>
      </c>
      <c r="B718" s="6">
        <v>6737.0898440000001</v>
      </c>
      <c r="C718" s="6">
        <v>6765.1401370000003</v>
      </c>
      <c r="D718" s="6">
        <v>6712.9301759999998</v>
      </c>
      <c r="E718" s="6">
        <v>6764.4399409999996</v>
      </c>
      <c r="F718" s="6">
        <v>6764.4399409999996</v>
      </c>
      <c r="G718" s="4">
        <v>2195010000</v>
      </c>
      <c r="H718">
        <f t="shared" si="11"/>
        <v>7.3445845354436073E-3</v>
      </c>
    </row>
    <row r="719" spans="1:8" x14ac:dyDescent="0.3">
      <c r="A719" s="5">
        <v>43045</v>
      </c>
      <c r="B719" s="6">
        <v>6763.2998049999997</v>
      </c>
      <c r="C719" s="6">
        <v>6790.669922</v>
      </c>
      <c r="D719" s="6">
        <v>6763.169922</v>
      </c>
      <c r="E719" s="6">
        <v>6786.4399409999996</v>
      </c>
      <c r="F719" s="6">
        <v>6786.4399409999996</v>
      </c>
      <c r="G719" s="4">
        <v>2166470000</v>
      </c>
      <c r="H719">
        <f t="shared" si="11"/>
        <v>3.24702447674436E-3</v>
      </c>
    </row>
    <row r="720" spans="1:8" x14ac:dyDescent="0.3">
      <c r="A720" s="5">
        <v>43046</v>
      </c>
      <c r="B720" s="6">
        <v>6785.4399409999996</v>
      </c>
      <c r="C720" s="6">
        <v>6795.5200199999999</v>
      </c>
      <c r="D720" s="6">
        <v>6750.3500979999999</v>
      </c>
      <c r="E720" s="6">
        <v>6767.7797849999997</v>
      </c>
      <c r="F720" s="6">
        <v>6767.7797849999997</v>
      </c>
      <c r="G720" s="4">
        <v>2205270000</v>
      </c>
      <c r="H720">
        <f t="shared" si="11"/>
        <v>-2.7534108441785348E-3</v>
      </c>
    </row>
    <row r="721" spans="1:8" x14ac:dyDescent="0.3">
      <c r="A721" s="5">
        <v>43047</v>
      </c>
      <c r="B721" s="6">
        <v>6764.8500979999999</v>
      </c>
      <c r="C721" s="6">
        <v>6791.6499020000001</v>
      </c>
      <c r="D721" s="6">
        <v>6753.3398440000001</v>
      </c>
      <c r="E721" s="6">
        <v>6789.1201170000004</v>
      </c>
      <c r="F721" s="6">
        <v>6789.1201170000004</v>
      </c>
      <c r="G721" s="4">
        <v>2110990000</v>
      </c>
      <c r="H721">
        <f t="shared" si="11"/>
        <v>3.1482639512874942E-3</v>
      </c>
    </row>
    <row r="722" spans="1:8" x14ac:dyDescent="0.3">
      <c r="A722" s="5">
        <v>43048</v>
      </c>
      <c r="B722" s="6">
        <v>6737.4501950000003</v>
      </c>
      <c r="C722" s="6">
        <v>6758.9301759999998</v>
      </c>
      <c r="D722" s="6">
        <v>6687.2797849999997</v>
      </c>
      <c r="E722" s="6">
        <v>6750.0498049999997</v>
      </c>
      <c r="F722" s="6">
        <v>6750.0498049999997</v>
      </c>
      <c r="G722" s="4">
        <v>2235180000</v>
      </c>
      <c r="H722">
        <f t="shared" si="11"/>
        <v>-5.7714646728071299E-3</v>
      </c>
    </row>
    <row r="723" spans="1:8" x14ac:dyDescent="0.3">
      <c r="A723" s="5">
        <v>43049</v>
      </c>
      <c r="B723" s="6">
        <v>6736.3901370000003</v>
      </c>
      <c r="C723" s="6">
        <v>6757.3398440000001</v>
      </c>
      <c r="D723" s="6">
        <v>6727.3500979999999</v>
      </c>
      <c r="E723" s="6">
        <v>6750.9399409999996</v>
      </c>
      <c r="F723" s="6">
        <v>6750.9399409999996</v>
      </c>
      <c r="G723" s="4">
        <v>1973970000</v>
      </c>
      <c r="H723">
        <f t="shared" si="11"/>
        <v>1.3186233276754093E-4</v>
      </c>
    </row>
    <row r="724" spans="1:8" x14ac:dyDescent="0.3">
      <c r="A724" s="5">
        <v>43052</v>
      </c>
      <c r="B724" s="6">
        <v>6727.3901370000003</v>
      </c>
      <c r="C724" s="6">
        <v>6766.2998049999997</v>
      </c>
      <c r="D724" s="6">
        <v>6723.4301759999998</v>
      </c>
      <c r="E724" s="6">
        <v>6757.6000979999999</v>
      </c>
      <c r="F724" s="6">
        <v>6757.6000979999999</v>
      </c>
      <c r="G724" s="4">
        <v>1973790000</v>
      </c>
      <c r="H724">
        <f t="shared" si="11"/>
        <v>9.8606622483651189E-4</v>
      </c>
    </row>
    <row r="725" spans="1:8" x14ac:dyDescent="0.3">
      <c r="A725" s="5">
        <v>43053</v>
      </c>
      <c r="B725" s="6">
        <v>6733.8701170000004</v>
      </c>
      <c r="C725" s="6">
        <v>6743.6298829999996</v>
      </c>
      <c r="D725" s="6">
        <v>6709.2700199999999</v>
      </c>
      <c r="E725" s="6">
        <v>6737.8701170000004</v>
      </c>
      <c r="F725" s="6">
        <v>6737.8701170000004</v>
      </c>
      <c r="G725" s="4">
        <v>1983830000</v>
      </c>
      <c r="H725">
        <f t="shared" si="11"/>
        <v>-2.9239433294834054E-3</v>
      </c>
    </row>
    <row r="726" spans="1:8" x14ac:dyDescent="0.3">
      <c r="A726" s="5">
        <v>43054</v>
      </c>
      <c r="B726" s="6">
        <v>6700.6801759999998</v>
      </c>
      <c r="C726" s="6">
        <v>6725.3198240000002</v>
      </c>
      <c r="D726" s="6">
        <v>6667.3100590000004</v>
      </c>
      <c r="E726" s="6">
        <v>6706.2099609999996</v>
      </c>
      <c r="F726" s="6">
        <v>6706.2099609999996</v>
      </c>
      <c r="G726" s="4">
        <v>1908660000</v>
      </c>
      <c r="H726">
        <f t="shared" si="11"/>
        <v>-4.7099116255534205E-3</v>
      </c>
    </row>
    <row r="727" spans="1:8" x14ac:dyDescent="0.3">
      <c r="A727" s="5">
        <v>43055</v>
      </c>
      <c r="B727" s="6">
        <v>6742.3398440000001</v>
      </c>
      <c r="C727" s="6">
        <v>6806.669922</v>
      </c>
      <c r="D727" s="6">
        <v>6742.3398440000001</v>
      </c>
      <c r="E727" s="6">
        <v>6793.2900390000004</v>
      </c>
      <c r="F727" s="6">
        <v>6793.2900390000004</v>
      </c>
      <c r="G727" s="4">
        <v>2002920000</v>
      </c>
      <c r="H727">
        <f t="shared" si="11"/>
        <v>1.2901409066032696E-2</v>
      </c>
    </row>
    <row r="728" spans="1:8" x14ac:dyDescent="0.3">
      <c r="A728" s="5">
        <v>43056</v>
      </c>
      <c r="B728" s="6">
        <v>6794.4501950000003</v>
      </c>
      <c r="C728" s="6">
        <v>6797.75</v>
      </c>
      <c r="D728" s="6">
        <v>6777.4301759999998</v>
      </c>
      <c r="E728" s="6">
        <v>6782.7900390000004</v>
      </c>
      <c r="F728" s="6">
        <v>6782.7900390000004</v>
      </c>
      <c r="G728" s="4">
        <v>1988090000</v>
      </c>
      <c r="H728">
        <f t="shared" si="11"/>
        <v>-1.5468385621319536E-3</v>
      </c>
    </row>
    <row r="729" spans="1:8" x14ac:dyDescent="0.3">
      <c r="A729" s="5">
        <v>43059</v>
      </c>
      <c r="B729" s="6">
        <v>6789.2797849999997</v>
      </c>
      <c r="C729" s="6">
        <v>6795.830078</v>
      </c>
      <c r="D729" s="6">
        <v>6779.4902339999999</v>
      </c>
      <c r="E729" s="6">
        <v>6790.7099609999996</v>
      </c>
      <c r="F729" s="6">
        <v>6790.7099609999996</v>
      </c>
      <c r="G729" s="4">
        <v>1800880000</v>
      </c>
      <c r="H729">
        <f t="shared" si="11"/>
        <v>1.1669684162210173E-3</v>
      </c>
    </row>
    <row r="730" spans="1:8" x14ac:dyDescent="0.3">
      <c r="A730" s="5">
        <v>43060</v>
      </c>
      <c r="B730" s="6">
        <v>6820.5498049999997</v>
      </c>
      <c r="C730" s="6">
        <v>6862.6601559999999</v>
      </c>
      <c r="D730" s="6">
        <v>6820.0200199999999</v>
      </c>
      <c r="E730" s="6">
        <v>6862.4799800000001</v>
      </c>
      <c r="F730" s="6">
        <v>6862.4799800000001</v>
      </c>
      <c r="G730" s="4">
        <v>1883550000</v>
      </c>
      <c r="H730">
        <f t="shared" si="11"/>
        <v>1.0513393628779408E-2</v>
      </c>
    </row>
    <row r="731" spans="1:8" x14ac:dyDescent="0.3">
      <c r="A731" s="5">
        <v>43061</v>
      </c>
      <c r="B731" s="6">
        <v>6869.5297849999997</v>
      </c>
      <c r="C731" s="6">
        <v>6874.5200199999999</v>
      </c>
      <c r="D731" s="6">
        <v>6859.2797849999997</v>
      </c>
      <c r="E731" s="6">
        <v>6867.3598629999997</v>
      </c>
      <c r="F731" s="6">
        <v>6867.3598629999997</v>
      </c>
      <c r="G731" s="4">
        <v>1588200000</v>
      </c>
      <c r="H731">
        <f t="shared" si="11"/>
        <v>7.1084342735009765E-4</v>
      </c>
    </row>
    <row r="732" spans="1:8" x14ac:dyDescent="0.3">
      <c r="A732" s="5">
        <v>43063</v>
      </c>
      <c r="B732" s="6">
        <v>6878.1098629999997</v>
      </c>
      <c r="C732" s="6">
        <v>6890.0200199999999</v>
      </c>
      <c r="D732" s="6">
        <v>6873.7402339999999</v>
      </c>
      <c r="E732" s="6">
        <v>6889.1601559999999</v>
      </c>
      <c r="F732" s="6">
        <v>6889.1601559999999</v>
      </c>
      <c r="G732" s="4">
        <v>848520000</v>
      </c>
      <c r="H732">
        <f t="shared" si="11"/>
        <v>3.1694514629161466E-3</v>
      </c>
    </row>
    <row r="733" spans="1:8" x14ac:dyDescent="0.3">
      <c r="A733" s="5">
        <v>43066</v>
      </c>
      <c r="B733" s="6">
        <v>6889.9101559999999</v>
      </c>
      <c r="C733" s="6">
        <v>6897.4301759999998</v>
      </c>
      <c r="D733" s="6">
        <v>6867.8901370000003</v>
      </c>
      <c r="E733" s="6">
        <v>6878.5200199999999</v>
      </c>
      <c r="F733" s="6">
        <v>6878.5200199999999</v>
      </c>
      <c r="G733" s="4">
        <v>1773400000</v>
      </c>
      <c r="H733">
        <f t="shared" si="11"/>
        <v>-1.5456689845111181E-3</v>
      </c>
    </row>
    <row r="734" spans="1:8" x14ac:dyDescent="0.3">
      <c r="A734" s="5">
        <v>43067</v>
      </c>
      <c r="B734" s="6">
        <v>6893.7202150000003</v>
      </c>
      <c r="C734" s="6">
        <v>6914.1899409999996</v>
      </c>
      <c r="D734" s="6">
        <v>6866.2099609999996</v>
      </c>
      <c r="E734" s="6">
        <v>6912.3598629999997</v>
      </c>
      <c r="F734" s="6">
        <v>6912.3598629999997</v>
      </c>
      <c r="G734" s="4">
        <v>2000410000</v>
      </c>
      <c r="H734">
        <f t="shared" si="11"/>
        <v>4.9075782262690548E-3</v>
      </c>
    </row>
    <row r="735" spans="1:8" x14ac:dyDescent="0.3">
      <c r="A735" s="5">
        <v>43068</v>
      </c>
      <c r="B735" s="6">
        <v>6907.2797849999997</v>
      </c>
      <c r="C735" s="6">
        <v>6908.330078</v>
      </c>
      <c r="D735" s="6">
        <v>6793.9501950000003</v>
      </c>
      <c r="E735" s="6">
        <v>6824.3901370000003</v>
      </c>
      <c r="F735" s="6">
        <v>6824.3901370000003</v>
      </c>
      <c r="G735" s="4">
        <v>2452860000</v>
      </c>
      <c r="H735">
        <f t="shared" si="11"/>
        <v>-1.2808113796915918E-2</v>
      </c>
    </row>
    <row r="736" spans="1:8" x14ac:dyDescent="0.3">
      <c r="A736" s="5">
        <v>43069</v>
      </c>
      <c r="B736" s="6">
        <v>6852.7998049999997</v>
      </c>
      <c r="C736" s="6">
        <v>6888.6499020000001</v>
      </c>
      <c r="D736" s="6">
        <v>6838.4799800000001</v>
      </c>
      <c r="E736" s="6">
        <v>6873.9702150000003</v>
      </c>
      <c r="F736" s="6">
        <v>6873.9702150000003</v>
      </c>
      <c r="G736" s="4">
        <v>2458580000</v>
      </c>
      <c r="H736">
        <f t="shared" si="11"/>
        <v>7.2388655620524191E-3</v>
      </c>
    </row>
    <row r="737" spans="1:8" x14ac:dyDescent="0.3">
      <c r="A737" s="5">
        <v>43070</v>
      </c>
      <c r="B737" s="6">
        <v>6844.0400390000004</v>
      </c>
      <c r="C737" s="6">
        <v>6872.169922</v>
      </c>
      <c r="D737" s="6">
        <v>6737.1601559999999</v>
      </c>
      <c r="E737" s="6">
        <v>6847.5898440000001</v>
      </c>
      <c r="F737" s="6">
        <v>6847.5898440000001</v>
      </c>
      <c r="G737" s="4">
        <v>2293570000</v>
      </c>
      <c r="H737">
        <f t="shared" si="11"/>
        <v>-3.8451026543583943E-3</v>
      </c>
    </row>
    <row r="738" spans="1:8" x14ac:dyDescent="0.3">
      <c r="A738" s="5">
        <v>43073</v>
      </c>
      <c r="B738" s="6">
        <v>6897.1298829999996</v>
      </c>
      <c r="C738" s="6">
        <v>6899.2299800000001</v>
      </c>
      <c r="D738" s="6">
        <v>6770.6899409999996</v>
      </c>
      <c r="E738" s="6">
        <v>6775.3701170000004</v>
      </c>
      <c r="F738" s="6">
        <v>6775.3701170000004</v>
      </c>
      <c r="G738" s="4">
        <v>2426570000</v>
      </c>
      <c r="H738">
        <f t="shared" si="11"/>
        <v>-1.0602747680897548E-2</v>
      </c>
    </row>
    <row r="739" spans="1:8" x14ac:dyDescent="0.3">
      <c r="A739" s="5">
        <v>43074</v>
      </c>
      <c r="B739" s="6">
        <v>6759.1401370000003</v>
      </c>
      <c r="C739" s="6">
        <v>6836.4501950000003</v>
      </c>
      <c r="D739" s="6">
        <v>6752.3198240000002</v>
      </c>
      <c r="E739" s="6">
        <v>6762.2099609999996</v>
      </c>
      <c r="F739" s="6">
        <v>6762.2099609999996</v>
      </c>
      <c r="G739" s="4">
        <v>2083540000</v>
      </c>
      <c r="H739">
        <f t="shared" si="11"/>
        <v>-1.9442411523632598E-3</v>
      </c>
    </row>
    <row r="740" spans="1:8" x14ac:dyDescent="0.3">
      <c r="A740" s="5">
        <v>43075</v>
      </c>
      <c r="B740" s="6">
        <v>6742.0698240000002</v>
      </c>
      <c r="C740" s="6">
        <v>6787.419922</v>
      </c>
      <c r="D740" s="6">
        <v>6734.1298829999996</v>
      </c>
      <c r="E740" s="6">
        <v>6776.3798829999996</v>
      </c>
      <c r="F740" s="6">
        <v>6776.3798829999996</v>
      </c>
      <c r="G740" s="4">
        <v>1891850000</v>
      </c>
      <c r="H740">
        <f t="shared" si="11"/>
        <v>2.0932648580645227E-3</v>
      </c>
    </row>
    <row r="741" spans="1:8" x14ac:dyDescent="0.3">
      <c r="A741" s="5">
        <v>43076</v>
      </c>
      <c r="B741" s="6">
        <v>6785.7402339999999</v>
      </c>
      <c r="C741" s="6">
        <v>6829.2900390000004</v>
      </c>
      <c r="D741" s="6">
        <v>6778.2001950000003</v>
      </c>
      <c r="E741" s="6">
        <v>6812.8398440000001</v>
      </c>
      <c r="F741" s="6">
        <v>6812.8398440000001</v>
      </c>
      <c r="G741" s="4">
        <v>1934120000</v>
      </c>
      <c r="H741">
        <f t="shared" si="11"/>
        <v>5.3660253081176086E-3</v>
      </c>
    </row>
    <row r="742" spans="1:8" x14ac:dyDescent="0.3">
      <c r="A742" s="5">
        <v>43077</v>
      </c>
      <c r="B742" s="6">
        <v>6859.9501950000003</v>
      </c>
      <c r="C742" s="6">
        <v>6870.4799800000001</v>
      </c>
      <c r="D742" s="6">
        <v>6831.6098629999997</v>
      </c>
      <c r="E742" s="6">
        <v>6840.080078</v>
      </c>
      <c r="F742" s="6">
        <v>6840.080078</v>
      </c>
      <c r="G742" s="4">
        <v>1806040000</v>
      </c>
      <c r="H742">
        <f t="shared" si="11"/>
        <v>3.9903947729431326E-3</v>
      </c>
    </row>
    <row r="743" spans="1:8" x14ac:dyDescent="0.3">
      <c r="A743" s="5">
        <v>43080</v>
      </c>
      <c r="B743" s="6">
        <v>6847.6401370000003</v>
      </c>
      <c r="C743" s="6">
        <v>6879.7998049999997</v>
      </c>
      <c r="D743" s="6">
        <v>6844.8798829999996</v>
      </c>
      <c r="E743" s="6">
        <v>6875.080078</v>
      </c>
      <c r="F743" s="6">
        <v>6875.080078</v>
      </c>
      <c r="G743" s="4">
        <v>1818970000</v>
      </c>
      <c r="H743">
        <f t="shared" si="11"/>
        <v>5.10385231802117E-3</v>
      </c>
    </row>
    <row r="744" spans="1:8" x14ac:dyDescent="0.3">
      <c r="A744" s="5">
        <v>43081</v>
      </c>
      <c r="B744" s="6">
        <v>6872.7099609999996</v>
      </c>
      <c r="C744" s="6">
        <v>6884.7998049999997</v>
      </c>
      <c r="D744" s="6">
        <v>6856.2998049999997</v>
      </c>
      <c r="E744" s="6">
        <v>6862.3198240000002</v>
      </c>
      <c r="F744" s="6">
        <v>6862.3198240000002</v>
      </c>
      <c r="G744" s="4">
        <v>1861560000</v>
      </c>
      <c r="H744">
        <f t="shared" si="11"/>
        <v>-1.8577398577423342E-3</v>
      </c>
    </row>
    <row r="745" spans="1:8" x14ac:dyDescent="0.3">
      <c r="A745" s="5">
        <v>43082</v>
      </c>
      <c r="B745" s="6">
        <v>6880.4101559999999</v>
      </c>
      <c r="C745" s="6">
        <v>6897.6201170000004</v>
      </c>
      <c r="D745" s="6">
        <v>6871.8701170000004</v>
      </c>
      <c r="E745" s="6">
        <v>6875.7998049999997</v>
      </c>
      <c r="F745" s="6">
        <v>6875.7998049999997</v>
      </c>
      <c r="G745" s="4">
        <v>1919560000</v>
      </c>
      <c r="H745">
        <f t="shared" si="11"/>
        <v>1.9624207227896995E-3</v>
      </c>
    </row>
    <row r="746" spans="1:8" x14ac:dyDescent="0.3">
      <c r="A746" s="5">
        <v>43083</v>
      </c>
      <c r="B746" s="6">
        <v>6887.3798829999996</v>
      </c>
      <c r="C746" s="6">
        <v>6901.1298829999996</v>
      </c>
      <c r="D746" s="6">
        <v>6851.6298829999996</v>
      </c>
      <c r="E746" s="6">
        <v>6856.5297849999997</v>
      </c>
      <c r="F746" s="6">
        <v>6856.5297849999997</v>
      </c>
      <c r="G746" s="4">
        <v>1985200000</v>
      </c>
      <c r="H746">
        <f t="shared" si="11"/>
        <v>-2.8065205575145613E-3</v>
      </c>
    </row>
    <row r="747" spans="1:8" x14ac:dyDescent="0.3">
      <c r="A747" s="5">
        <v>43084</v>
      </c>
      <c r="B747" s="6">
        <v>6871.5498049999997</v>
      </c>
      <c r="C747" s="6">
        <v>6945.8198240000002</v>
      </c>
      <c r="D747" s="6">
        <v>6871.4501950000003</v>
      </c>
      <c r="E747" s="6">
        <v>6936.580078</v>
      </c>
      <c r="F747" s="6">
        <v>6936.580078</v>
      </c>
      <c r="G747" s="4">
        <v>3510420000</v>
      </c>
      <c r="H747">
        <f t="shared" si="11"/>
        <v>1.1607417409420021E-2</v>
      </c>
    </row>
    <row r="748" spans="1:8" x14ac:dyDescent="0.3">
      <c r="A748" s="5">
        <v>43087</v>
      </c>
      <c r="B748" s="6">
        <v>6980.3999020000001</v>
      </c>
      <c r="C748" s="6">
        <v>7003.8901370000003</v>
      </c>
      <c r="D748" s="6">
        <v>6975.5400390000004</v>
      </c>
      <c r="E748" s="6">
        <v>6994.7597660000001</v>
      </c>
      <c r="F748" s="6">
        <v>6994.7597660000001</v>
      </c>
      <c r="G748" s="4">
        <v>2144360000</v>
      </c>
      <c r="H748">
        <f t="shared" si="11"/>
        <v>8.3523949427893856E-3</v>
      </c>
    </row>
    <row r="749" spans="1:8" x14ac:dyDescent="0.3">
      <c r="A749" s="5">
        <v>43088</v>
      </c>
      <c r="B749" s="6">
        <v>6991.25</v>
      </c>
      <c r="C749" s="6">
        <v>6995.8798829999996</v>
      </c>
      <c r="D749" s="6">
        <v>6951.4902339999999</v>
      </c>
      <c r="E749" s="6">
        <v>6963.8500979999999</v>
      </c>
      <c r="F749" s="6">
        <v>6963.8500979999999</v>
      </c>
      <c r="G749" s="4">
        <v>2071060000</v>
      </c>
      <c r="H749">
        <f t="shared" si="11"/>
        <v>-4.428767452195316E-3</v>
      </c>
    </row>
    <row r="750" spans="1:8" x14ac:dyDescent="0.3">
      <c r="A750" s="5">
        <v>43089</v>
      </c>
      <c r="B750" s="6">
        <v>6991.25</v>
      </c>
      <c r="C750" s="6">
        <v>6991.25</v>
      </c>
      <c r="D750" s="6">
        <v>6935.419922</v>
      </c>
      <c r="E750" s="6">
        <v>6960.9599609999996</v>
      </c>
      <c r="F750" s="6">
        <v>6960.9599609999996</v>
      </c>
      <c r="G750" s="4">
        <v>1874550000</v>
      </c>
      <c r="H750">
        <f t="shared" si="11"/>
        <v>-4.1510613491397121E-4</v>
      </c>
    </row>
    <row r="751" spans="1:8" x14ac:dyDescent="0.3">
      <c r="A751" s="5">
        <v>43090</v>
      </c>
      <c r="B751" s="6">
        <v>6972.8798829999996</v>
      </c>
      <c r="C751" s="6">
        <v>6992.6298829999996</v>
      </c>
      <c r="D751" s="6">
        <v>6961.2099609999996</v>
      </c>
      <c r="E751" s="6">
        <v>6965.3598629999997</v>
      </c>
      <c r="F751" s="6">
        <v>6965.3598629999997</v>
      </c>
      <c r="G751" s="4">
        <v>1815620000</v>
      </c>
      <c r="H751">
        <f t="shared" si="11"/>
        <v>6.318829672166701E-4</v>
      </c>
    </row>
    <row r="752" spans="1:8" x14ac:dyDescent="0.3">
      <c r="A752" s="5">
        <v>43091</v>
      </c>
      <c r="B752" s="6">
        <v>6958.0200199999999</v>
      </c>
      <c r="C752" s="6">
        <v>6962.2597660000001</v>
      </c>
      <c r="D752" s="6">
        <v>6944.4501950000003</v>
      </c>
      <c r="E752" s="6">
        <v>6959.9599609999996</v>
      </c>
      <c r="F752" s="6">
        <v>6959.9599609999996</v>
      </c>
      <c r="G752" s="4">
        <v>1539250000</v>
      </c>
      <c r="H752">
        <f t="shared" si="11"/>
        <v>-7.7555163384534543E-4</v>
      </c>
    </row>
    <row r="753" spans="1:8" x14ac:dyDescent="0.3">
      <c r="A753" s="5">
        <v>43095</v>
      </c>
      <c r="B753" s="6">
        <v>6928.919922</v>
      </c>
      <c r="C753" s="6">
        <v>6942.1401370000003</v>
      </c>
      <c r="D753" s="6">
        <v>6915.5600590000004</v>
      </c>
      <c r="E753" s="6">
        <v>6936.25</v>
      </c>
      <c r="F753" s="6">
        <v>6936.25</v>
      </c>
      <c r="G753" s="4">
        <v>1304340000</v>
      </c>
      <c r="H753">
        <f t="shared" si="11"/>
        <v>-3.4124389419222536E-3</v>
      </c>
    </row>
    <row r="754" spans="1:8" x14ac:dyDescent="0.3">
      <c r="A754" s="5">
        <v>43096</v>
      </c>
      <c r="B754" s="6">
        <v>6941.4501950000003</v>
      </c>
      <c r="C754" s="6">
        <v>6955.3798829999996</v>
      </c>
      <c r="D754" s="6">
        <v>6931.3398440000001</v>
      </c>
      <c r="E754" s="6">
        <v>6939.3398440000001</v>
      </c>
      <c r="F754" s="6">
        <v>6939.3398440000001</v>
      </c>
      <c r="G754" s="4">
        <v>1409540000</v>
      </c>
      <c r="H754">
        <f t="shared" si="11"/>
        <v>4.4536399328762852E-4</v>
      </c>
    </row>
    <row r="755" spans="1:8" x14ac:dyDescent="0.3">
      <c r="A755" s="5">
        <v>43097</v>
      </c>
      <c r="B755" s="6">
        <v>6953.3798829999996</v>
      </c>
      <c r="C755" s="6">
        <v>6954.7998049999997</v>
      </c>
      <c r="D755" s="6">
        <v>6936.75</v>
      </c>
      <c r="E755" s="6">
        <v>6950.1601559999999</v>
      </c>
      <c r="F755" s="6">
        <v>6950.1601559999999</v>
      </c>
      <c r="G755" s="4">
        <v>1311320000</v>
      </c>
      <c r="H755">
        <f t="shared" si="11"/>
        <v>1.5580566887067099E-3</v>
      </c>
    </row>
    <row r="756" spans="1:8" x14ac:dyDescent="0.3">
      <c r="A756" s="5">
        <v>43098</v>
      </c>
      <c r="B756" s="6">
        <v>6952.6098629999997</v>
      </c>
      <c r="C756" s="6">
        <v>6954.9799800000001</v>
      </c>
      <c r="D756" s="6">
        <v>6903.3901370000003</v>
      </c>
      <c r="E756" s="6">
        <v>6903.3901370000003</v>
      </c>
      <c r="F756" s="6">
        <v>6903.3901370000003</v>
      </c>
      <c r="G756" s="4">
        <v>1571730000</v>
      </c>
      <c r="H756">
        <f t="shared" si="11"/>
        <v>-6.7520881940714983E-3</v>
      </c>
    </row>
    <row r="757" spans="1:8" x14ac:dyDescent="0.3">
      <c r="A757" s="5">
        <v>43102</v>
      </c>
      <c r="B757" s="6">
        <v>6937.6499020000001</v>
      </c>
      <c r="C757" s="6">
        <v>7006.9101559999999</v>
      </c>
      <c r="D757" s="6">
        <v>6924.080078</v>
      </c>
      <c r="E757" s="6">
        <v>7006.8999020000001</v>
      </c>
      <c r="F757" s="6">
        <v>7006.8999020000001</v>
      </c>
      <c r="G757" s="4">
        <v>1914930000</v>
      </c>
      <c r="H757">
        <f t="shared" si="11"/>
        <v>1.4882748711605661E-2</v>
      </c>
    </row>
    <row r="758" spans="1:8" x14ac:dyDescent="0.3">
      <c r="A758" s="5">
        <v>43103</v>
      </c>
      <c r="B758" s="6">
        <v>7017.0698240000002</v>
      </c>
      <c r="C758" s="6">
        <v>7069.1499020000001</v>
      </c>
      <c r="D758" s="6">
        <v>7016.7001950000003</v>
      </c>
      <c r="E758" s="6">
        <v>7065.5297849999997</v>
      </c>
      <c r="F758" s="6">
        <v>7065.5297849999997</v>
      </c>
      <c r="G758" s="4">
        <v>2166780000</v>
      </c>
      <c r="H758">
        <f t="shared" si="11"/>
        <v>8.332636728730804E-3</v>
      </c>
    </row>
    <row r="759" spans="1:8" x14ac:dyDescent="0.3">
      <c r="A759" s="5">
        <v>43104</v>
      </c>
      <c r="B759" s="6">
        <v>7089.5</v>
      </c>
      <c r="C759" s="6">
        <v>7098.0498049999997</v>
      </c>
      <c r="D759" s="6">
        <v>7072.3798829999996</v>
      </c>
      <c r="E759" s="6">
        <v>7077.9101559999999</v>
      </c>
      <c r="F759" s="6">
        <v>7077.9101559999999</v>
      </c>
      <c r="G759" s="4">
        <v>2098890000</v>
      </c>
      <c r="H759">
        <f t="shared" si="11"/>
        <v>1.7506878402571264E-3</v>
      </c>
    </row>
    <row r="760" spans="1:8" x14ac:dyDescent="0.3">
      <c r="A760" s="5">
        <v>43105</v>
      </c>
      <c r="B760" s="6">
        <v>7105.7402339999999</v>
      </c>
      <c r="C760" s="6">
        <v>7137.0400390000004</v>
      </c>
      <c r="D760" s="6">
        <v>7097.080078</v>
      </c>
      <c r="E760" s="6">
        <v>7136.5600590000004</v>
      </c>
      <c r="F760" s="6">
        <v>7136.5600590000004</v>
      </c>
      <c r="G760" s="4">
        <v>2020900000</v>
      </c>
      <c r="H760">
        <f t="shared" si="11"/>
        <v>8.2521873758012714E-3</v>
      </c>
    </row>
    <row r="761" spans="1:8" x14ac:dyDescent="0.3">
      <c r="A761" s="5">
        <v>43108</v>
      </c>
      <c r="B761" s="6">
        <v>7135.3798829999996</v>
      </c>
      <c r="C761" s="6">
        <v>7161.3500979999999</v>
      </c>
      <c r="D761" s="6">
        <v>7124.0898440000001</v>
      </c>
      <c r="E761" s="6">
        <v>7157.3901370000003</v>
      </c>
      <c r="F761" s="6">
        <v>7157.3901370000003</v>
      </c>
      <c r="G761" s="4">
        <v>2051430000</v>
      </c>
      <c r="H761">
        <f t="shared" si="11"/>
        <v>2.9145327162145474E-3</v>
      </c>
    </row>
    <row r="762" spans="1:8" x14ac:dyDescent="0.3">
      <c r="A762" s="5">
        <v>43109</v>
      </c>
      <c r="B762" s="6">
        <v>7174.1899409999996</v>
      </c>
      <c r="C762" s="6">
        <v>7181.1401370000003</v>
      </c>
      <c r="D762" s="6">
        <v>7148.2998049999997</v>
      </c>
      <c r="E762" s="6">
        <v>7163.580078</v>
      </c>
      <c r="F762" s="6">
        <v>7163.580078</v>
      </c>
      <c r="G762" s="4">
        <v>2107300000</v>
      </c>
      <c r="H762">
        <f t="shared" si="11"/>
        <v>8.6445838410976084E-4</v>
      </c>
    </row>
    <row r="763" spans="1:8" x14ac:dyDescent="0.3">
      <c r="A763" s="5">
        <v>43110</v>
      </c>
      <c r="B763" s="6">
        <v>7129.830078</v>
      </c>
      <c r="C763" s="6">
        <v>7154.2402339999999</v>
      </c>
      <c r="D763" s="6">
        <v>7111.5200199999999</v>
      </c>
      <c r="E763" s="6">
        <v>7153.5698240000002</v>
      </c>
      <c r="F763" s="6">
        <v>7153.5698240000002</v>
      </c>
      <c r="G763" s="4">
        <v>2122740000</v>
      </c>
      <c r="H763">
        <f t="shared" si="11"/>
        <v>-1.3983587096169316E-3</v>
      </c>
    </row>
    <row r="764" spans="1:8" x14ac:dyDescent="0.3">
      <c r="A764" s="5">
        <v>43111</v>
      </c>
      <c r="B764" s="6">
        <v>7168.7299800000001</v>
      </c>
      <c r="C764" s="6">
        <v>7211.7797849999997</v>
      </c>
      <c r="D764" s="6">
        <v>7163.2299800000001</v>
      </c>
      <c r="E764" s="6">
        <v>7211.7797849999997</v>
      </c>
      <c r="F764" s="6">
        <v>7211.7797849999997</v>
      </c>
      <c r="G764" s="4">
        <v>2009740000</v>
      </c>
      <c r="H764">
        <f t="shared" si="11"/>
        <v>8.1042621560934672E-3</v>
      </c>
    </row>
    <row r="765" spans="1:8" x14ac:dyDescent="0.3">
      <c r="A765" s="5">
        <v>43112</v>
      </c>
      <c r="B765" s="6">
        <v>7208.169922</v>
      </c>
      <c r="C765" s="6">
        <v>7265.2597660000001</v>
      </c>
      <c r="D765" s="6">
        <v>7205.1801759999998</v>
      </c>
      <c r="E765" s="6">
        <v>7261.0600590000004</v>
      </c>
      <c r="F765" s="6">
        <v>7261.0600590000004</v>
      </c>
      <c r="G765" s="4">
        <v>1976200000</v>
      </c>
      <c r="H765">
        <f t="shared" si="11"/>
        <v>6.810061465022668E-3</v>
      </c>
    </row>
    <row r="766" spans="1:8" x14ac:dyDescent="0.3">
      <c r="A766" s="5">
        <v>43116</v>
      </c>
      <c r="B766" s="6">
        <v>7307.1899409999996</v>
      </c>
      <c r="C766" s="6">
        <v>7330.330078</v>
      </c>
      <c r="D766" s="6">
        <v>7205.9301759999998</v>
      </c>
      <c r="E766" s="6">
        <v>7223.6899409999996</v>
      </c>
      <c r="F766" s="6">
        <v>7223.6899409999996</v>
      </c>
      <c r="G766" s="4">
        <v>2377140000</v>
      </c>
      <c r="H766">
        <f t="shared" si="11"/>
        <v>-5.1599373016126644E-3</v>
      </c>
    </row>
    <row r="767" spans="1:8" x14ac:dyDescent="0.3">
      <c r="A767" s="5">
        <v>43117</v>
      </c>
      <c r="B767" s="6">
        <v>7257.7700199999999</v>
      </c>
      <c r="C767" s="6">
        <v>7309.3598629999997</v>
      </c>
      <c r="D767" s="6">
        <v>7229.3198240000002</v>
      </c>
      <c r="E767" s="6">
        <v>7298.2797849999997</v>
      </c>
      <c r="F767" s="6">
        <v>7298.2797849999997</v>
      </c>
      <c r="G767" s="4">
        <v>2238070000</v>
      </c>
      <c r="H767">
        <f t="shared" si="11"/>
        <v>1.0272779982576826E-2</v>
      </c>
    </row>
    <row r="768" spans="1:8" x14ac:dyDescent="0.3">
      <c r="A768" s="5">
        <v>43118</v>
      </c>
      <c r="B768" s="6">
        <v>7293.6499020000001</v>
      </c>
      <c r="C768" s="6">
        <v>7313.8901370000003</v>
      </c>
      <c r="D768" s="6">
        <v>7276.1098629999997</v>
      </c>
      <c r="E768" s="6">
        <v>7296.0498049999997</v>
      </c>
      <c r="F768" s="6">
        <v>7296.0498049999997</v>
      </c>
      <c r="G768" s="4">
        <v>2026220000</v>
      </c>
      <c r="H768">
        <f t="shared" si="11"/>
        <v>-3.0559540314648064E-4</v>
      </c>
    </row>
    <row r="769" spans="1:8" x14ac:dyDescent="0.3">
      <c r="A769" s="5">
        <v>43119</v>
      </c>
      <c r="B769" s="6">
        <v>7312</v>
      </c>
      <c r="C769" s="6">
        <v>7336.3798829999996</v>
      </c>
      <c r="D769" s="6">
        <v>7297.2797849999997</v>
      </c>
      <c r="E769" s="6">
        <v>7336.3798829999996</v>
      </c>
      <c r="F769" s="6">
        <v>7336.3798829999996</v>
      </c>
      <c r="G769" s="4">
        <v>1997270000</v>
      </c>
      <c r="H769">
        <f t="shared" si="11"/>
        <v>5.5124379184638842E-3</v>
      </c>
    </row>
    <row r="770" spans="1:8" x14ac:dyDescent="0.3">
      <c r="A770" s="5">
        <v>43122</v>
      </c>
      <c r="B770" s="6">
        <v>7338.0400390000004</v>
      </c>
      <c r="C770" s="6">
        <v>7408.0297849999997</v>
      </c>
      <c r="D770" s="6">
        <v>7332.8100590000004</v>
      </c>
      <c r="E770" s="6">
        <v>7408.0297849999997</v>
      </c>
      <c r="F770" s="6">
        <v>7408.0297849999997</v>
      </c>
      <c r="G770" s="4">
        <v>2106070000</v>
      </c>
      <c r="H770">
        <f t="shared" si="11"/>
        <v>9.7190009787466464E-3</v>
      </c>
    </row>
    <row r="771" spans="1:8" x14ac:dyDescent="0.3">
      <c r="A771" s="5">
        <v>43123</v>
      </c>
      <c r="B771" s="6">
        <v>7424.9501950000003</v>
      </c>
      <c r="C771" s="6">
        <v>7465.3901370000003</v>
      </c>
      <c r="D771" s="6">
        <v>7423.1801759999998</v>
      </c>
      <c r="E771" s="6">
        <v>7460.2900390000004</v>
      </c>
      <c r="F771" s="6">
        <v>7460.2900390000004</v>
      </c>
      <c r="G771" s="4">
        <v>2119840000</v>
      </c>
      <c r="H771">
        <f t="shared" si="11"/>
        <v>7.029774693269198E-3</v>
      </c>
    </row>
    <row r="772" spans="1:8" x14ac:dyDescent="0.3">
      <c r="A772" s="5">
        <v>43124</v>
      </c>
      <c r="B772" s="6">
        <v>7474.1601559999999</v>
      </c>
      <c r="C772" s="6">
        <v>7486.3198240000002</v>
      </c>
      <c r="D772" s="6">
        <v>7376.75</v>
      </c>
      <c r="E772" s="6">
        <v>7415.0600590000004</v>
      </c>
      <c r="F772" s="6">
        <v>7415.0600590000004</v>
      </c>
      <c r="G772" s="4">
        <v>2277010000</v>
      </c>
      <c r="H772">
        <f t="shared" ref="H772:H835" si="12">LN(E772/E771)</f>
        <v>-6.0812174624733043E-3</v>
      </c>
    </row>
    <row r="773" spans="1:8" x14ac:dyDescent="0.3">
      <c r="A773" s="5">
        <v>43125</v>
      </c>
      <c r="B773" s="6">
        <v>7457.9501950000003</v>
      </c>
      <c r="C773" s="6">
        <v>7458.5297849999997</v>
      </c>
      <c r="D773" s="6">
        <v>7388.580078</v>
      </c>
      <c r="E773" s="6">
        <v>7411.1601559999999</v>
      </c>
      <c r="F773" s="6">
        <v>7411.1601559999999</v>
      </c>
      <c r="G773" s="4">
        <v>2061450000</v>
      </c>
      <c r="H773">
        <f t="shared" si="12"/>
        <v>-5.2608190535313769E-4</v>
      </c>
    </row>
    <row r="774" spans="1:8" x14ac:dyDescent="0.3">
      <c r="A774" s="5">
        <v>43126</v>
      </c>
      <c r="B774" s="6">
        <v>7448.330078</v>
      </c>
      <c r="C774" s="6">
        <v>7505.7700199999999</v>
      </c>
      <c r="D774" s="6">
        <v>7431.2202150000003</v>
      </c>
      <c r="E774" s="6">
        <v>7505.7700199999999</v>
      </c>
      <c r="F774" s="6">
        <v>7505.7700199999999</v>
      </c>
      <c r="G774" s="4">
        <v>2059010000</v>
      </c>
      <c r="H774">
        <f t="shared" si="12"/>
        <v>1.2685067440435229E-2</v>
      </c>
    </row>
    <row r="775" spans="1:8" x14ac:dyDescent="0.3">
      <c r="A775" s="5">
        <v>43129</v>
      </c>
      <c r="B775" s="6">
        <v>7484.4702150000003</v>
      </c>
      <c r="C775" s="6">
        <v>7500.6098629999997</v>
      </c>
      <c r="D775" s="6">
        <v>7455.5498049999997</v>
      </c>
      <c r="E775" s="6">
        <v>7466.5097660000001</v>
      </c>
      <c r="F775" s="6">
        <v>7466.5097660000001</v>
      </c>
      <c r="G775" s="4">
        <v>2103380000</v>
      </c>
      <c r="H775">
        <f t="shared" si="12"/>
        <v>-5.2444042650657344E-3</v>
      </c>
    </row>
    <row r="776" spans="1:8" x14ac:dyDescent="0.3">
      <c r="A776" s="5">
        <v>43130</v>
      </c>
      <c r="B776" s="6">
        <v>7388.8901370000003</v>
      </c>
      <c r="C776" s="6">
        <v>7433.6499020000001</v>
      </c>
      <c r="D776" s="6">
        <v>7373.9902339999999</v>
      </c>
      <c r="E776" s="6">
        <v>7402.4799800000001</v>
      </c>
      <c r="F776" s="6">
        <v>7402.4799800000001</v>
      </c>
      <c r="G776" s="4">
        <v>2163980000</v>
      </c>
      <c r="H776">
        <f t="shared" si="12"/>
        <v>-8.6125799917289875E-3</v>
      </c>
    </row>
    <row r="777" spans="1:8" x14ac:dyDescent="0.3">
      <c r="A777" s="5">
        <v>43131</v>
      </c>
      <c r="B777" s="6">
        <v>7443.25</v>
      </c>
      <c r="C777" s="6">
        <v>7453.9902339999999</v>
      </c>
      <c r="D777" s="6">
        <v>7381.1201170000004</v>
      </c>
      <c r="E777" s="6">
        <v>7411.4799800000001</v>
      </c>
      <c r="F777" s="6">
        <v>7411.4799800000001</v>
      </c>
      <c r="G777" s="4">
        <v>2407540000</v>
      </c>
      <c r="H777">
        <f t="shared" si="12"/>
        <v>1.2150702623198403E-3</v>
      </c>
    </row>
    <row r="778" spans="1:8" x14ac:dyDescent="0.3">
      <c r="A778" s="5">
        <v>43132</v>
      </c>
      <c r="B778" s="6">
        <v>7377.169922</v>
      </c>
      <c r="C778" s="6">
        <v>7441.0898440000001</v>
      </c>
      <c r="D778" s="6">
        <v>7362.2797849999997</v>
      </c>
      <c r="E778" s="6">
        <v>7385.8598629999997</v>
      </c>
      <c r="F778" s="6">
        <v>7385.8598629999997</v>
      </c>
      <c r="G778" s="4">
        <v>2291680000</v>
      </c>
      <c r="H778">
        <f t="shared" si="12"/>
        <v>-3.4628038380883738E-3</v>
      </c>
    </row>
    <row r="779" spans="1:8" x14ac:dyDescent="0.3">
      <c r="A779" s="5">
        <v>43133</v>
      </c>
      <c r="B779" s="6">
        <v>7347.5898440000001</v>
      </c>
      <c r="C779" s="6">
        <v>7364.4301759999998</v>
      </c>
      <c r="D779" s="6">
        <v>7238.1801759999998</v>
      </c>
      <c r="E779" s="6">
        <v>7240.9501950000003</v>
      </c>
      <c r="F779" s="6">
        <v>7240.9501950000003</v>
      </c>
      <c r="G779" s="4">
        <v>2587770000</v>
      </c>
      <c r="H779">
        <f t="shared" si="12"/>
        <v>-1.9814902733048676E-2</v>
      </c>
    </row>
    <row r="780" spans="1:8" x14ac:dyDescent="0.3">
      <c r="A780" s="5">
        <v>43136</v>
      </c>
      <c r="B780" s="6">
        <v>7165.9599609999996</v>
      </c>
      <c r="C780" s="6">
        <v>7277.3598629999997</v>
      </c>
      <c r="D780" s="6">
        <v>6967.5297849999997</v>
      </c>
      <c r="E780" s="6">
        <v>6967.5297849999997</v>
      </c>
      <c r="F780" s="6">
        <v>6967.5297849999997</v>
      </c>
      <c r="G780" s="4">
        <v>3106870000</v>
      </c>
      <c r="H780">
        <f t="shared" si="12"/>
        <v>-3.849168497707383E-2</v>
      </c>
    </row>
    <row r="781" spans="1:8" x14ac:dyDescent="0.3">
      <c r="A781" s="5">
        <v>43137</v>
      </c>
      <c r="B781" s="6">
        <v>6837.5600590000004</v>
      </c>
      <c r="C781" s="6">
        <v>7126.5498049999997</v>
      </c>
      <c r="D781" s="6">
        <v>6824.8198240000002</v>
      </c>
      <c r="E781" s="6">
        <v>7115.8798829999996</v>
      </c>
      <c r="F781" s="6">
        <v>7115.8798829999996</v>
      </c>
      <c r="G781" s="4">
        <v>3131030000</v>
      </c>
      <c r="H781">
        <f t="shared" si="12"/>
        <v>2.1068134600557738E-2</v>
      </c>
    </row>
    <row r="782" spans="1:8" x14ac:dyDescent="0.3">
      <c r="A782" s="5">
        <v>43138</v>
      </c>
      <c r="B782" s="6">
        <v>7086.2001950000003</v>
      </c>
      <c r="C782" s="6">
        <v>7170.3398440000001</v>
      </c>
      <c r="D782" s="6">
        <v>7051.5297849999997</v>
      </c>
      <c r="E782" s="6">
        <v>7051.9799800000001</v>
      </c>
      <c r="F782" s="6">
        <v>7051.9799800000001</v>
      </c>
      <c r="G782" s="4">
        <v>2366970000</v>
      </c>
      <c r="H782">
        <f t="shared" si="12"/>
        <v>-9.0204641922461831E-3</v>
      </c>
    </row>
    <row r="783" spans="1:8" x14ac:dyDescent="0.3">
      <c r="A783" s="5">
        <v>43139</v>
      </c>
      <c r="B783" s="6">
        <v>7067.2998049999997</v>
      </c>
      <c r="C783" s="6">
        <v>7073.9902339999999</v>
      </c>
      <c r="D783" s="6">
        <v>6776.7700199999999</v>
      </c>
      <c r="E783" s="6">
        <v>6777.1601559999999</v>
      </c>
      <c r="F783" s="6">
        <v>6777.1601559999999</v>
      </c>
      <c r="G783" s="4">
        <v>2707700000</v>
      </c>
      <c r="H783">
        <f t="shared" si="12"/>
        <v>-3.9750267460236882E-2</v>
      </c>
    </row>
    <row r="784" spans="1:8" x14ac:dyDescent="0.3">
      <c r="A784" s="5">
        <v>43140</v>
      </c>
      <c r="B784" s="6">
        <v>6863.3398440000001</v>
      </c>
      <c r="C784" s="6">
        <v>6917.0097660000001</v>
      </c>
      <c r="D784" s="6">
        <v>6630.669922</v>
      </c>
      <c r="E784" s="6">
        <v>6874.4902339999999</v>
      </c>
      <c r="F784" s="6">
        <v>6874.4902339999999</v>
      </c>
      <c r="G784" s="4">
        <v>3155990000</v>
      </c>
      <c r="H784">
        <f t="shared" si="12"/>
        <v>1.4259334861324262E-2</v>
      </c>
    </row>
    <row r="785" spans="1:8" x14ac:dyDescent="0.3">
      <c r="A785" s="5">
        <v>43143</v>
      </c>
      <c r="B785" s="6">
        <v>6936.6801759999998</v>
      </c>
      <c r="C785" s="6">
        <v>7023.6201170000004</v>
      </c>
      <c r="D785" s="6">
        <v>6879.6899409999996</v>
      </c>
      <c r="E785" s="6">
        <v>6981.9599609999996</v>
      </c>
      <c r="F785" s="6">
        <v>6981.9599609999996</v>
      </c>
      <c r="G785" s="4">
        <v>2240420000</v>
      </c>
      <c r="H785">
        <f t="shared" si="12"/>
        <v>1.5512181041401729E-2</v>
      </c>
    </row>
    <row r="786" spans="1:8" x14ac:dyDescent="0.3">
      <c r="A786" s="5">
        <v>43144</v>
      </c>
      <c r="B786" s="6">
        <v>6942.1601559999999</v>
      </c>
      <c r="C786" s="6">
        <v>7025.6801759999998</v>
      </c>
      <c r="D786" s="6">
        <v>6938.1601559999999</v>
      </c>
      <c r="E786" s="6">
        <v>7013.5097660000001</v>
      </c>
      <c r="F786" s="6">
        <v>7013.5097660000001</v>
      </c>
      <c r="G786" s="4">
        <v>1816670000</v>
      </c>
      <c r="H786">
        <f t="shared" si="12"/>
        <v>4.5085815708873524E-3</v>
      </c>
    </row>
    <row r="787" spans="1:8" x14ac:dyDescent="0.3">
      <c r="A787" s="5">
        <v>43145</v>
      </c>
      <c r="B787" s="6">
        <v>6979.2402339999999</v>
      </c>
      <c r="C787" s="6">
        <v>7152.0498049999997</v>
      </c>
      <c r="D787" s="6">
        <v>6977.0698240000002</v>
      </c>
      <c r="E787" s="6">
        <v>7143.6201170000004</v>
      </c>
      <c r="F787" s="6">
        <v>7143.6201170000004</v>
      </c>
      <c r="G787" s="4">
        <v>2211460000</v>
      </c>
      <c r="H787">
        <f t="shared" si="12"/>
        <v>1.8381411414346297E-2</v>
      </c>
    </row>
    <row r="788" spans="1:8" x14ac:dyDescent="0.3">
      <c r="A788" s="5">
        <v>43146</v>
      </c>
      <c r="B788" s="6">
        <v>7200.75</v>
      </c>
      <c r="C788" s="6">
        <v>7256.9301759999998</v>
      </c>
      <c r="D788" s="6">
        <v>7130.3901370000003</v>
      </c>
      <c r="E788" s="6">
        <v>7256.4301759999998</v>
      </c>
      <c r="F788" s="6">
        <v>7256.4301759999998</v>
      </c>
      <c r="G788" s="4">
        <v>2110700000</v>
      </c>
      <c r="H788">
        <f t="shared" si="12"/>
        <v>1.5668329563927476E-2</v>
      </c>
    </row>
    <row r="789" spans="1:8" x14ac:dyDescent="0.3">
      <c r="A789" s="5">
        <v>43147</v>
      </c>
      <c r="B789" s="6">
        <v>7236.5097660000001</v>
      </c>
      <c r="C789" s="6">
        <v>7303.2597660000001</v>
      </c>
      <c r="D789" s="6">
        <v>7226.3798829999996</v>
      </c>
      <c r="E789" s="6">
        <v>7239.4702150000003</v>
      </c>
      <c r="F789" s="6">
        <v>7239.4702150000003</v>
      </c>
      <c r="G789" s="4">
        <v>2019830000</v>
      </c>
      <c r="H789">
        <f t="shared" si="12"/>
        <v>-2.339967615829473E-3</v>
      </c>
    </row>
    <row r="790" spans="1:8" x14ac:dyDescent="0.3">
      <c r="A790" s="5">
        <v>43151</v>
      </c>
      <c r="B790" s="6">
        <v>7209.0297849999997</v>
      </c>
      <c r="C790" s="6">
        <v>7295.9501950000003</v>
      </c>
      <c r="D790" s="6">
        <v>7206</v>
      </c>
      <c r="E790" s="6">
        <v>7234.3100590000004</v>
      </c>
      <c r="F790" s="6">
        <v>7234.3100590000004</v>
      </c>
      <c r="G790" s="4">
        <v>1911170000</v>
      </c>
      <c r="H790">
        <f t="shared" si="12"/>
        <v>-7.1303503589813667E-4</v>
      </c>
    </row>
    <row r="791" spans="1:8" x14ac:dyDescent="0.3">
      <c r="A791" s="5">
        <v>43152</v>
      </c>
      <c r="B791" s="6">
        <v>7258.4799800000001</v>
      </c>
      <c r="C791" s="6">
        <v>7338.6401370000003</v>
      </c>
      <c r="D791" s="6">
        <v>7218.1098629999997</v>
      </c>
      <c r="E791" s="6">
        <v>7218.2299800000001</v>
      </c>
      <c r="F791" s="6">
        <v>7218.2299800000001</v>
      </c>
      <c r="G791" s="4">
        <v>1946010000</v>
      </c>
      <c r="H791">
        <f t="shared" si="12"/>
        <v>-2.2252262359179621E-3</v>
      </c>
    </row>
    <row r="792" spans="1:8" x14ac:dyDescent="0.3">
      <c r="A792" s="5">
        <v>43153</v>
      </c>
      <c r="B792" s="6">
        <v>7252.4599609999996</v>
      </c>
      <c r="C792" s="6">
        <v>7280.9301759999998</v>
      </c>
      <c r="D792" s="6">
        <v>7194.8398440000001</v>
      </c>
      <c r="E792" s="6">
        <v>7210.0898440000001</v>
      </c>
      <c r="F792" s="6">
        <v>7210.0898440000001</v>
      </c>
      <c r="G792" s="4">
        <v>1911900000</v>
      </c>
      <c r="H792">
        <f t="shared" si="12"/>
        <v>-1.128355479079243E-3</v>
      </c>
    </row>
    <row r="793" spans="1:8" x14ac:dyDescent="0.3">
      <c r="A793" s="5">
        <v>43154</v>
      </c>
      <c r="B793" s="6">
        <v>7261.3500979999999</v>
      </c>
      <c r="C793" s="6">
        <v>7337.830078</v>
      </c>
      <c r="D793" s="6">
        <v>7232.5</v>
      </c>
      <c r="E793" s="6">
        <v>7337.3901370000003</v>
      </c>
      <c r="F793" s="6">
        <v>7337.3901370000003</v>
      </c>
      <c r="G793" s="4">
        <v>1879460000</v>
      </c>
      <c r="H793">
        <f t="shared" si="12"/>
        <v>1.7501799985646216E-2</v>
      </c>
    </row>
    <row r="794" spans="1:8" x14ac:dyDescent="0.3">
      <c r="A794" s="5">
        <v>43157</v>
      </c>
      <c r="B794" s="6">
        <v>7373.2998049999997</v>
      </c>
      <c r="C794" s="6">
        <v>7421.8500979999999</v>
      </c>
      <c r="D794" s="6">
        <v>7360.25</v>
      </c>
      <c r="E794" s="6">
        <v>7421.4599609999996</v>
      </c>
      <c r="F794" s="6">
        <v>7421.4599609999996</v>
      </c>
      <c r="G794" s="4">
        <v>1866610000</v>
      </c>
      <c r="H794">
        <f t="shared" si="12"/>
        <v>1.1392585835900597E-2</v>
      </c>
    </row>
    <row r="795" spans="1:8" x14ac:dyDescent="0.3">
      <c r="A795" s="5">
        <v>43158</v>
      </c>
      <c r="B795" s="6">
        <v>7416.169922</v>
      </c>
      <c r="C795" s="6">
        <v>7438.0898440000001</v>
      </c>
      <c r="D795" s="6">
        <v>7330.3500979999999</v>
      </c>
      <c r="E795" s="6">
        <v>7330.3500979999999</v>
      </c>
      <c r="F795" s="6">
        <v>7330.3500979999999</v>
      </c>
      <c r="G795" s="4">
        <v>2155850000</v>
      </c>
      <c r="H795">
        <f t="shared" si="12"/>
        <v>-1.2352520962622186E-2</v>
      </c>
    </row>
    <row r="796" spans="1:8" x14ac:dyDescent="0.3">
      <c r="A796" s="5">
        <v>43159</v>
      </c>
      <c r="B796" s="6">
        <v>7371.4101559999999</v>
      </c>
      <c r="C796" s="6">
        <v>7386.7998049999997</v>
      </c>
      <c r="D796" s="6">
        <v>7273.0097660000001</v>
      </c>
      <c r="E796" s="6">
        <v>7273.0097660000001</v>
      </c>
      <c r="F796" s="6">
        <v>7273.0097660000001</v>
      </c>
      <c r="G796" s="4">
        <v>2373880000</v>
      </c>
      <c r="H796">
        <f t="shared" si="12"/>
        <v>-7.8530731583486522E-3</v>
      </c>
    </row>
    <row r="797" spans="1:8" x14ac:dyDescent="0.3">
      <c r="A797" s="5">
        <v>43160</v>
      </c>
      <c r="B797" s="6">
        <v>7274.75</v>
      </c>
      <c r="C797" s="6">
        <v>7307.8500979999999</v>
      </c>
      <c r="D797" s="6">
        <v>7117.6601559999999</v>
      </c>
      <c r="E797" s="6">
        <v>7180.5600590000004</v>
      </c>
      <c r="F797" s="6">
        <v>7180.5600590000004</v>
      </c>
      <c r="G797" s="4">
        <v>2489040000</v>
      </c>
      <c r="H797">
        <f t="shared" si="12"/>
        <v>-1.2792821281823887E-2</v>
      </c>
    </row>
    <row r="798" spans="1:8" x14ac:dyDescent="0.3">
      <c r="A798" s="5">
        <v>43161</v>
      </c>
      <c r="B798" s="6">
        <v>7099.5400390000004</v>
      </c>
      <c r="C798" s="6">
        <v>7267.1899409999996</v>
      </c>
      <c r="D798" s="6">
        <v>7084.830078</v>
      </c>
      <c r="E798" s="6">
        <v>7257.8701170000004</v>
      </c>
      <c r="F798" s="6">
        <v>7257.8701170000004</v>
      </c>
      <c r="G798" s="4">
        <v>2287320000</v>
      </c>
      <c r="H798">
        <f t="shared" si="12"/>
        <v>1.0709030816255171E-2</v>
      </c>
    </row>
    <row r="799" spans="1:8" x14ac:dyDescent="0.3">
      <c r="A799" s="5">
        <v>43164</v>
      </c>
      <c r="B799" s="6">
        <v>7222.8901370000003</v>
      </c>
      <c r="C799" s="6">
        <v>7350.0698240000002</v>
      </c>
      <c r="D799" s="6">
        <v>7205.3100590000004</v>
      </c>
      <c r="E799" s="6">
        <v>7330.7099609999996</v>
      </c>
      <c r="F799" s="6">
        <v>7330.7099609999996</v>
      </c>
      <c r="G799" s="4">
        <v>2066350000</v>
      </c>
      <c r="H799">
        <f t="shared" si="12"/>
        <v>9.9859546171501071E-3</v>
      </c>
    </row>
    <row r="800" spans="1:8" x14ac:dyDescent="0.3">
      <c r="A800" s="5">
        <v>43165</v>
      </c>
      <c r="B800" s="6">
        <v>7366.6098629999997</v>
      </c>
      <c r="C800" s="6">
        <v>7378.0297849999997</v>
      </c>
      <c r="D800" s="6">
        <v>7319.6801759999998</v>
      </c>
      <c r="E800" s="6">
        <v>7372.0097660000001</v>
      </c>
      <c r="F800" s="6">
        <v>7372.0097660000001</v>
      </c>
      <c r="G800" s="4">
        <v>2112570000</v>
      </c>
      <c r="H800">
        <f t="shared" si="12"/>
        <v>5.6179964512378449E-3</v>
      </c>
    </row>
    <row r="801" spans="1:8" x14ac:dyDescent="0.3">
      <c r="A801" s="5">
        <v>43166</v>
      </c>
      <c r="B801" s="6">
        <v>7311.7402339999999</v>
      </c>
      <c r="C801" s="6">
        <v>7403.7900390000004</v>
      </c>
      <c r="D801" s="6">
        <v>7311.7402339999999</v>
      </c>
      <c r="E801" s="6">
        <v>7396.6499020000001</v>
      </c>
      <c r="F801" s="6">
        <v>7396.6499020000001</v>
      </c>
      <c r="G801" s="4">
        <v>2192230000</v>
      </c>
      <c r="H801">
        <f t="shared" si="12"/>
        <v>3.3368172084081321E-3</v>
      </c>
    </row>
    <row r="802" spans="1:8" x14ac:dyDescent="0.3">
      <c r="A802" s="5">
        <v>43167</v>
      </c>
      <c r="B802" s="6">
        <v>7422.7700199999999</v>
      </c>
      <c r="C802" s="6">
        <v>7435.0097660000001</v>
      </c>
      <c r="D802" s="6">
        <v>7391.5</v>
      </c>
      <c r="E802" s="6">
        <v>7427.9501950000003</v>
      </c>
      <c r="F802" s="6">
        <v>7427.9501950000003</v>
      </c>
      <c r="G802" s="4">
        <v>2272110000</v>
      </c>
      <c r="H802">
        <f t="shared" si="12"/>
        <v>4.2227566756023929E-3</v>
      </c>
    </row>
    <row r="803" spans="1:8" x14ac:dyDescent="0.3">
      <c r="A803" s="5">
        <v>43168</v>
      </c>
      <c r="B803" s="6">
        <v>7475.9799800000001</v>
      </c>
      <c r="C803" s="6">
        <v>7560.8100590000004</v>
      </c>
      <c r="D803" s="6">
        <v>7469.0297849999997</v>
      </c>
      <c r="E803" s="6">
        <v>7560.8100590000004</v>
      </c>
      <c r="F803" s="6">
        <v>7560.8100590000004</v>
      </c>
      <c r="G803" s="4">
        <v>2302930000</v>
      </c>
      <c r="H803">
        <f t="shared" si="12"/>
        <v>1.7728396679617481E-2</v>
      </c>
    </row>
    <row r="804" spans="1:8" x14ac:dyDescent="0.3">
      <c r="A804" s="5">
        <v>43171</v>
      </c>
      <c r="B804" s="6">
        <v>7581.0400390000004</v>
      </c>
      <c r="C804" s="6">
        <v>7609.1000979999999</v>
      </c>
      <c r="D804" s="6">
        <v>7563.4399409999996</v>
      </c>
      <c r="E804" s="6">
        <v>7588.3198240000002</v>
      </c>
      <c r="F804" s="6">
        <v>7588.3198240000002</v>
      </c>
      <c r="G804" s="4">
        <v>2294440000</v>
      </c>
      <c r="H804">
        <f t="shared" si="12"/>
        <v>3.6318647277151206E-3</v>
      </c>
    </row>
    <row r="805" spans="1:8" x14ac:dyDescent="0.3">
      <c r="A805" s="5">
        <v>43172</v>
      </c>
      <c r="B805" s="6">
        <v>7627.5200199999999</v>
      </c>
      <c r="C805" s="6">
        <v>7637.2700199999999</v>
      </c>
      <c r="D805" s="6">
        <v>7492.9799800000001</v>
      </c>
      <c r="E805" s="6">
        <v>7511.0097660000001</v>
      </c>
      <c r="F805" s="6">
        <v>7511.0097660000001</v>
      </c>
      <c r="G805" s="4">
        <v>2448830000</v>
      </c>
      <c r="H805">
        <f t="shared" si="12"/>
        <v>-1.024028691094633E-2</v>
      </c>
    </row>
    <row r="806" spans="1:8" x14ac:dyDescent="0.3">
      <c r="A806" s="5">
        <v>43173</v>
      </c>
      <c r="B806" s="6">
        <v>7539.7797849999997</v>
      </c>
      <c r="C806" s="6">
        <v>7544.8901370000003</v>
      </c>
      <c r="D806" s="6">
        <v>7473.8999020000001</v>
      </c>
      <c r="E806" s="6">
        <v>7496.8100590000004</v>
      </c>
      <c r="F806" s="6">
        <v>7496.8100590000004</v>
      </c>
      <c r="G806" s="4">
        <v>2104450000</v>
      </c>
      <c r="H806">
        <f t="shared" si="12"/>
        <v>-1.8923083302978274E-3</v>
      </c>
    </row>
    <row r="807" spans="1:8" x14ac:dyDescent="0.3">
      <c r="A807" s="5">
        <v>43174</v>
      </c>
      <c r="B807" s="6">
        <v>7509.2402339999999</v>
      </c>
      <c r="C807" s="6">
        <v>7525.4399409999996</v>
      </c>
      <c r="D807" s="6">
        <v>7463.1899409999996</v>
      </c>
      <c r="E807" s="6">
        <v>7481.7402339999999</v>
      </c>
      <c r="F807" s="6">
        <v>7481.7402339999999</v>
      </c>
      <c r="G807" s="4">
        <v>1991570000</v>
      </c>
      <c r="H807">
        <f t="shared" si="12"/>
        <v>-2.0121880675900588E-3</v>
      </c>
    </row>
    <row r="808" spans="1:8" x14ac:dyDescent="0.3">
      <c r="A808" s="5">
        <v>43175</v>
      </c>
      <c r="B808" s="6">
        <v>7504.3701170000004</v>
      </c>
      <c r="C808" s="6">
        <v>7514.2099609999996</v>
      </c>
      <c r="D808" s="6">
        <v>7473.6801759999998</v>
      </c>
      <c r="E808" s="6">
        <v>7481.9902339999999</v>
      </c>
      <c r="F808" s="6">
        <v>7481.9902339999999</v>
      </c>
      <c r="G808" s="4">
        <v>3046990000</v>
      </c>
      <c r="H808">
        <f t="shared" si="12"/>
        <v>3.3414127654488043E-5</v>
      </c>
    </row>
    <row r="809" spans="1:8" x14ac:dyDescent="0.3">
      <c r="A809" s="5">
        <v>43178</v>
      </c>
      <c r="B809" s="6">
        <v>7419.2001950000003</v>
      </c>
      <c r="C809" s="6">
        <v>7421.2299800000001</v>
      </c>
      <c r="D809" s="6">
        <v>7285.2700199999999</v>
      </c>
      <c r="E809" s="6">
        <v>7344.2402339999999</v>
      </c>
      <c r="F809" s="6">
        <v>7344.2402339999999</v>
      </c>
      <c r="G809" s="4">
        <v>2327430000</v>
      </c>
      <c r="H809">
        <f t="shared" si="12"/>
        <v>-1.8582466274647113E-2</v>
      </c>
    </row>
    <row r="810" spans="1:8" x14ac:dyDescent="0.3">
      <c r="A810" s="5">
        <v>43179</v>
      </c>
      <c r="B810" s="6">
        <v>7353.25</v>
      </c>
      <c r="C810" s="6">
        <v>7380.7402339999999</v>
      </c>
      <c r="D810" s="6">
        <v>7331.2402339999999</v>
      </c>
      <c r="E810" s="6">
        <v>7364.2998049999997</v>
      </c>
      <c r="F810" s="6">
        <v>7364.2998049999997</v>
      </c>
      <c r="G810" s="4">
        <v>1967690000</v>
      </c>
      <c r="H810">
        <f t="shared" si="12"/>
        <v>2.7276104064043846E-3</v>
      </c>
    </row>
    <row r="811" spans="1:8" x14ac:dyDescent="0.3">
      <c r="A811" s="5">
        <v>43180</v>
      </c>
      <c r="B811" s="6">
        <v>7347.5</v>
      </c>
      <c r="C811" s="6">
        <v>7415.6601559999999</v>
      </c>
      <c r="D811" s="6">
        <v>7325.3500979999999</v>
      </c>
      <c r="E811" s="6">
        <v>7345.2900390000004</v>
      </c>
      <c r="F811" s="6">
        <v>7345.2900390000004</v>
      </c>
      <c r="G811" s="4">
        <v>1988390000</v>
      </c>
      <c r="H811">
        <f t="shared" si="12"/>
        <v>-2.5846779936889159E-3</v>
      </c>
    </row>
    <row r="812" spans="1:8" x14ac:dyDescent="0.3">
      <c r="A812" s="5">
        <v>43181</v>
      </c>
      <c r="B812" s="6">
        <v>7257.5498049999997</v>
      </c>
      <c r="C812" s="6">
        <v>7303.1899409999996</v>
      </c>
      <c r="D812" s="6">
        <v>7164.3798829999996</v>
      </c>
      <c r="E812" s="6">
        <v>7166.6801759999998</v>
      </c>
      <c r="F812" s="6">
        <v>7166.6801759999998</v>
      </c>
      <c r="G812" s="4">
        <v>2347160000</v>
      </c>
      <c r="H812">
        <f t="shared" si="12"/>
        <v>-2.4616765310212573E-2</v>
      </c>
    </row>
    <row r="813" spans="1:8" x14ac:dyDescent="0.3">
      <c r="A813" s="5">
        <v>43182</v>
      </c>
      <c r="B813" s="6">
        <v>7170.6801759999998</v>
      </c>
      <c r="C813" s="6">
        <v>7194.3100590000004</v>
      </c>
      <c r="D813" s="6">
        <v>6992.669922</v>
      </c>
      <c r="E813" s="6">
        <v>6992.669922</v>
      </c>
      <c r="F813" s="6">
        <v>6992.669922</v>
      </c>
      <c r="G813" s="4">
        <v>2390410000</v>
      </c>
      <c r="H813">
        <f t="shared" si="12"/>
        <v>-2.4580085080469775E-2</v>
      </c>
    </row>
    <row r="814" spans="1:8" x14ac:dyDescent="0.3">
      <c r="A814" s="5">
        <v>43185</v>
      </c>
      <c r="B814" s="6">
        <v>7125.2001950000003</v>
      </c>
      <c r="C814" s="6">
        <v>7225.830078</v>
      </c>
      <c r="D814" s="6">
        <v>7022.3398440000001</v>
      </c>
      <c r="E814" s="6">
        <v>7220.5400390000004</v>
      </c>
      <c r="F814" s="6">
        <v>7220.5400390000004</v>
      </c>
      <c r="G814" s="4">
        <v>2326060000</v>
      </c>
      <c r="H814">
        <f t="shared" si="12"/>
        <v>3.206730134644304E-2</v>
      </c>
    </row>
    <row r="815" spans="1:8" x14ac:dyDescent="0.3">
      <c r="A815" s="5">
        <v>43186</v>
      </c>
      <c r="B815" s="6">
        <v>7255.4702150000003</v>
      </c>
      <c r="C815" s="6">
        <v>7255.5400390000004</v>
      </c>
      <c r="D815" s="6">
        <v>6963.6801759999998</v>
      </c>
      <c r="E815" s="6">
        <v>7008.8100590000004</v>
      </c>
      <c r="F815" s="6">
        <v>7008.8100590000004</v>
      </c>
      <c r="G815" s="4">
        <v>2325990000</v>
      </c>
      <c r="H815">
        <f t="shared" si="12"/>
        <v>-2.9761810188218826E-2</v>
      </c>
    </row>
    <row r="816" spans="1:8" x14ac:dyDescent="0.3">
      <c r="A816" s="5">
        <v>43187</v>
      </c>
      <c r="B816" s="6">
        <v>6978.2998049999997</v>
      </c>
      <c r="C816" s="6">
        <v>7036.0898440000001</v>
      </c>
      <c r="D816" s="6">
        <v>6901.0698240000002</v>
      </c>
      <c r="E816" s="6">
        <v>6949.2299800000001</v>
      </c>
      <c r="F816" s="6">
        <v>6949.2299800000001</v>
      </c>
      <c r="G816" s="4">
        <v>2518670000</v>
      </c>
      <c r="H816">
        <f t="shared" si="12"/>
        <v>-8.5370783707802919E-3</v>
      </c>
    </row>
    <row r="817" spans="1:8" x14ac:dyDescent="0.3">
      <c r="A817" s="5">
        <v>43188</v>
      </c>
      <c r="B817" s="6">
        <v>6984.6601559999999</v>
      </c>
      <c r="C817" s="6">
        <v>7120.4599609999996</v>
      </c>
      <c r="D817" s="6">
        <v>6935.7797849999997</v>
      </c>
      <c r="E817" s="6">
        <v>7063.4501950000003</v>
      </c>
      <c r="F817" s="6">
        <v>7063.4501950000003</v>
      </c>
      <c r="G817" s="4">
        <v>2554500000</v>
      </c>
      <c r="H817">
        <f t="shared" si="12"/>
        <v>1.6302769113741154E-2</v>
      </c>
    </row>
    <row r="818" spans="1:8" x14ac:dyDescent="0.3">
      <c r="A818" s="5">
        <v>43192</v>
      </c>
      <c r="B818" s="6">
        <v>7016.169922</v>
      </c>
      <c r="C818" s="6">
        <v>7044.7099609999996</v>
      </c>
      <c r="D818" s="6">
        <v>6805.9599609999996</v>
      </c>
      <c r="E818" s="6">
        <v>6870.1201170000004</v>
      </c>
      <c r="F818" s="6">
        <v>6870.1201170000004</v>
      </c>
      <c r="G818" s="4">
        <v>2394730000</v>
      </c>
      <c r="H818">
        <f t="shared" si="12"/>
        <v>-2.7752037946816174E-2</v>
      </c>
    </row>
    <row r="819" spans="1:8" x14ac:dyDescent="0.3">
      <c r="A819" s="5">
        <v>43193</v>
      </c>
      <c r="B819" s="6">
        <v>6924.3500979999999</v>
      </c>
      <c r="C819" s="6">
        <v>6963.7099609999996</v>
      </c>
      <c r="D819" s="6">
        <v>6835.2299800000001</v>
      </c>
      <c r="E819" s="6">
        <v>6941.2797849999997</v>
      </c>
      <c r="F819" s="6">
        <v>6941.2797849999997</v>
      </c>
      <c r="G819" s="4">
        <v>2328510000</v>
      </c>
      <c r="H819">
        <f t="shared" si="12"/>
        <v>1.0304574217454053E-2</v>
      </c>
    </row>
    <row r="820" spans="1:8" x14ac:dyDescent="0.3">
      <c r="A820" s="5">
        <v>43194</v>
      </c>
      <c r="B820" s="6">
        <v>6811.7700199999999</v>
      </c>
      <c r="C820" s="6">
        <v>7059.2900390000004</v>
      </c>
      <c r="D820" s="6">
        <v>6811.7700199999999</v>
      </c>
      <c r="E820" s="6">
        <v>7042.1098629999997</v>
      </c>
      <c r="F820" s="6">
        <v>7042.1098629999997</v>
      </c>
      <c r="G820" s="4">
        <v>2254070000</v>
      </c>
      <c r="H820">
        <f t="shared" si="12"/>
        <v>1.4421657140464663E-2</v>
      </c>
    </row>
    <row r="821" spans="1:8" x14ac:dyDescent="0.3">
      <c r="A821" s="5">
        <v>43195</v>
      </c>
      <c r="B821" s="6">
        <v>7099.25</v>
      </c>
      <c r="C821" s="6">
        <v>7112.3798829999996</v>
      </c>
      <c r="D821" s="6">
        <v>7036.6201170000004</v>
      </c>
      <c r="E821" s="6">
        <v>7076.5498049999997</v>
      </c>
      <c r="F821" s="6">
        <v>7076.5498049999997</v>
      </c>
      <c r="G821" s="4">
        <v>2124660000</v>
      </c>
      <c r="H821">
        <f t="shared" si="12"/>
        <v>4.8786515319831332E-3</v>
      </c>
    </row>
    <row r="822" spans="1:8" x14ac:dyDescent="0.3">
      <c r="A822" s="5">
        <v>43196</v>
      </c>
      <c r="B822" s="6">
        <v>6999.5698240000002</v>
      </c>
      <c r="C822" s="6">
        <v>7066.6401370000003</v>
      </c>
      <c r="D822" s="6">
        <v>6877.7597660000001</v>
      </c>
      <c r="E822" s="6">
        <v>6915.1098629999997</v>
      </c>
      <c r="F822" s="6">
        <v>6915.1098629999997</v>
      </c>
      <c r="G822" s="4">
        <v>2350540000</v>
      </c>
      <c r="H822">
        <f t="shared" si="12"/>
        <v>-2.3077620624698564E-2</v>
      </c>
    </row>
    <row r="823" spans="1:8" x14ac:dyDescent="0.3">
      <c r="A823" s="5">
        <v>43199</v>
      </c>
      <c r="B823" s="6">
        <v>6971.4501950000003</v>
      </c>
      <c r="C823" s="6">
        <v>7074.9501950000003</v>
      </c>
      <c r="D823" s="6">
        <v>6944.9599609999996</v>
      </c>
      <c r="E823" s="6">
        <v>6950.3398440000001</v>
      </c>
      <c r="F823" s="6">
        <v>6950.3398440000001</v>
      </c>
      <c r="G823" s="4">
        <v>2080900000</v>
      </c>
      <c r="H823">
        <f t="shared" si="12"/>
        <v>5.0817041723891041E-3</v>
      </c>
    </row>
    <row r="824" spans="1:8" x14ac:dyDescent="0.3">
      <c r="A824" s="5">
        <v>43200</v>
      </c>
      <c r="B824" s="6">
        <v>7060.9902339999999</v>
      </c>
      <c r="C824" s="6">
        <v>7117.9799800000001</v>
      </c>
      <c r="D824" s="6">
        <v>7014.8798829999996</v>
      </c>
      <c r="E824" s="6">
        <v>7094.2998049999997</v>
      </c>
      <c r="F824" s="6">
        <v>7094.2998049999997</v>
      </c>
      <c r="G824" s="4">
        <v>2238770000</v>
      </c>
      <c r="H824">
        <f t="shared" si="12"/>
        <v>2.0501060430458542E-2</v>
      </c>
    </row>
    <row r="825" spans="1:8" x14ac:dyDescent="0.3">
      <c r="A825" s="5">
        <v>43201</v>
      </c>
      <c r="B825" s="6">
        <v>7055</v>
      </c>
      <c r="C825" s="6">
        <v>7128.5400390000004</v>
      </c>
      <c r="D825" s="6">
        <v>7055</v>
      </c>
      <c r="E825" s="6">
        <v>7069.0297849999997</v>
      </c>
      <c r="F825" s="6">
        <v>7069.0297849999997</v>
      </c>
      <c r="G825" s="4">
        <v>1852120000</v>
      </c>
      <c r="H825">
        <f t="shared" si="12"/>
        <v>-3.5683765817452104E-3</v>
      </c>
    </row>
    <row r="826" spans="1:8" x14ac:dyDescent="0.3">
      <c r="A826" s="5">
        <v>43202</v>
      </c>
      <c r="B826" s="6">
        <v>7112.0200199999999</v>
      </c>
      <c r="C826" s="6">
        <v>7166</v>
      </c>
      <c r="D826" s="6">
        <v>7105.0898440000001</v>
      </c>
      <c r="E826" s="6">
        <v>7140.25</v>
      </c>
      <c r="F826" s="6">
        <v>7140.25</v>
      </c>
      <c r="G826" s="4">
        <v>2021110000</v>
      </c>
      <c r="H826">
        <f t="shared" si="12"/>
        <v>1.002454909692759E-2</v>
      </c>
    </row>
    <row r="827" spans="1:8" x14ac:dyDescent="0.3">
      <c r="A827" s="5">
        <v>43203</v>
      </c>
      <c r="B827" s="6">
        <v>7179.6201170000004</v>
      </c>
      <c r="C827" s="6">
        <v>7183.6201170000004</v>
      </c>
      <c r="D827" s="6">
        <v>7078.1401370000003</v>
      </c>
      <c r="E827" s="6">
        <v>7106.6499020000001</v>
      </c>
      <c r="F827" s="6">
        <v>7106.6499020000001</v>
      </c>
      <c r="G827" s="4">
        <v>1743640000</v>
      </c>
      <c r="H827">
        <f t="shared" si="12"/>
        <v>-4.7168381229961585E-3</v>
      </c>
    </row>
    <row r="828" spans="1:8" x14ac:dyDescent="0.3">
      <c r="A828" s="5">
        <v>43206</v>
      </c>
      <c r="B828" s="6">
        <v>7153.8701170000004</v>
      </c>
      <c r="C828" s="6">
        <v>7178.5097660000001</v>
      </c>
      <c r="D828" s="6">
        <v>7115.8500979999999</v>
      </c>
      <c r="E828" s="6">
        <v>7156.2797849999997</v>
      </c>
      <c r="F828" s="6">
        <v>7156.2797849999997</v>
      </c>
      <c r="G828" s="4">
        <v>1795950000</v>
      </c>
      <c r="H828">
        <f t="shared" si="12"/>
        <v>6.9593112207982973E-3</v>
      </c>
    </row>
    <row r="829" spans="1:8" x14ac:dyDescent="0.3">
      <c r="A829" s="5">
        <v>43207</v>
      </c>
      <c r="B829" s="6">
        <v>7215.1201170000004</v>
      </c>
      <c r="C829" s="6">
        <v>7298.5898440000001</v>
      </c>
      <c r="D829" s="6">
        <v>7206.5498049999997</v>
      </c>
      <c r="E829" s="6">
        <v>7281.1000979999999</v>
      </c>
      <c r="F829" s="6">
        <v>7281.1000979999999</v>
      </c>
      <c r="G829" s="4">
        <v>1913230000</v>
      </c>
      <c r="H829">
        <f t="shared" si="12"/>
        <v>1.7291700312987431E-2</v>
      </c>
    </row>
    <row r="830" spans="1:8" x14ac:dyDescent="0.3">
      <c r="A830" s="5">
        <v>43208</v>
      </c>
      <c r="B830" s="6">
        <v>7292.3798829999996</v>
      </c>
      <c r="C830" s="6">
        <v>7319.580078</v>
      </c>
      <c r="D830" s="6">
        <v>7259.8999020000001</v>
      </c>
      <c r="E830" s="6">
        <v>7295.2402339999999</v>
      </c>
      <c r="F830" s="6">
        <v>7295.2402339999999</v>
      </c>
      <c r="G830" s="4">
        <v>1893220000</v>
      </c>
      <c r="H830">
        <f t="shared" si="12"/>
        <v>1.9401496004396678E-3</v>
      </c>
    </row>
    <row r="831" spans="1:8" x14ac:dyDescent="0.3">
      <c r="A831" s="5">
        <v>43209</v>
      </c>
      <c r="B831" s="6">
        <v>7258.6098629999997</v>
      </c>
      <c r="C831" s="6">
        <v>7277.4501950000003</v>
      </c>
      <c r="D831" s="6">
        <v>7215.169922</v>
      </c>
      <c r="E831" s="6">
        <v>7238.0600590000004</v>
      </c>
      <c r="F831" s="6">
        <v>7238.0600590000004</v>
      </c>
      <c r="G831" s="4">
        <v>1963950000</v>
      </c>
      <c r="H831">
        <f t="shared" si="12"/>
        <v>-7.8688899140432703E-3</v>
      </c>
    </row>
    <row r="832" spans="1:8" x14ac:dyDescent="0.3">
      <c r="A832" s="5">
        <v>43210</v>
      </c>
      <c r="B832" s="6">
        <v>7220.6401370000003</v>
      </c>
      <c r="C832" s="6">
        <v>7222.9902339999999</v>
      </c>
      <c r="D832" s="6">
        <v>7123.4902339999999</v>
      </c>
      <c r="E832" s="6">
        <v>7146.1298829999996</v>
      </c>
      <c r="F832" s="6">
        <v>7146.1298829999996</v>
      </c>
      <c r="G832" s="4">
        <v>1921790000</v>
      </c>
      <c r="H832">
        <f t="shared" si="12"/>
        <v>-1.2782287782536102E-2</v>
      </c>
    </row>
    <row r="833" spans="1:8" x14ac:dyDescent="0.3">
      <c r="A833" s="5">
        <v>43213</v>
      </c>
      <c r="B833" s="6">
        <v>7173.9902339999999</v>
      </c>
      <c r="C833" s="6">
        <v>7195.7202150000003</v>
      </c>
      <c r="D833" s="6">
        <v>7094.4301759999998</v>
      </c>
      <c r="E833" s="6">
        <v>7128.6000979999999</v>
      </c>
      <c r="F833" s="6">
        <v>7128.6000979999999</v>
      </c>
      <c r="G833" s="4">
        <v>1737370000</v>
      </c>
      <c r="H833">
        <f t="shared" si="12"/>
        <v>-2.4560596011698804E-3</v>
      </c>
    </row>
    <row r="834" spans="1:8" x14ac:dyDescent="0.3">
      <c r="A834" s="5">
        <v>43214</v>
      </c>
      <c r="B834" s="6">
        <v>7160.7700199999999</v>
      </c>
      <c r="C834" s="6">
        <v>7171.669922</v>
      </c>
      <c r="D834" s="6">
        <v>6961.5200199999999</v>
      </c>
      <c r="E834" s="6">
        <v>7007.3500979999999</v>
      </c>
      <c r="F834" s="6">
        <v>7007.3500979999999</v>
      </c>
      <c r="G834" s="4">
        <v>2149250000</v>
      </c>
      <c r="H834">
        <f t="shared" si="12"/>
        <v>-1.7155263281399481E-2</v>
      </c>
    </row>
    <row r="835" spans="1:8" x14ac:dyDescent="0.3">
      <c r="A835" s="5">
        <v>43215</v>
      </c>
      <c r="B835" s="6">
        <v>7009.9902339999999</v>
      </c>
      <c r="C835" s="6">
        <v>7030.7402339999999</v>
      </c>
      <c r="D835" s="6">
        <v>6926.9702150000003</v>
      </c>
      <c r="E835" s="6">
        <v>7003.7402339999999</v>
      </c>
      <c r="F835" s="6">
        <v>7003.7402339999999</v>
      </c>
      <c r="G835" s="4">
        <v>2026690000</v>
      </c>
      <c r="H835">
        <f t="shared" si="12"/>
        <v>-5.1528667567430448E-4</v>
      </c>
    </row>
    <row r="836" spans="1:8" x14ac:dyDescent="0.3">
      <c r="A836" s="5">
        <v>43216</v>
      </c>
      <c r="B836" s="6">
        <v>7080.4902339999999</v>
      </c>
      <c r="C836" s="6">
        <v>7143.9399409999996</v>
      </c>
      <c r="D836" s="6">
        <v>7055.6601559999999</v>
      </c>
      <c r="E836" s="6">
        <v>7118.6801759999998</v>
      </c>
      <c r="F836" s="6">
        <v>7118.6801759999998</v>
      </c>
      <c r="G836" s="4">
        <v>2127140000</v>
      </c>
      <c r="H836">
        <f t="shared" ref="H836:H899" si="13">LN(E836/E835)</f>
        <v>1.6278014201161657E-2</v>
      </c>
    </row>
    <row r="837" spans="1:8" x14ac:dyDescent="0.3">
      <c r="A837" s="5">
        <v>43217</v>
      </c>
      <c r="B837" s="6">
        <v>7195.5200199999999</v>
      </c>
      <c r="C837" s="6">
        <v>7197.1499020000001</v>
      </c>
      <c r="D837" s="6">
        <v>7083.9501950000003</v>
      </c>
      <c r="E837" s="6">
        <v>7119.7998049999997</v>
      </c>
      <c r="F837" s="6">
        <v>7119.7998049999997</v>
      </c>
      <c r="G837" s="4">
        <v>2027530000</v>
      </c>
      <c r="H837">
        <f t="shared" si="13"/>
        <v>1.5726805161817166E-4</v>
      </c>
    </row>
    <row r="838" spans="1:8" x14ac:dyDescent="0.3">
      <c r="A838" s="5">
        <v>43220</v>
      </c>
      <c r="B838" s="6">
        <v>7133.9501950000003</v>
      </c>
      <c r="C838" s="6">
        <v>7169.7998049999997</v>
      </c>
      <c r="D838" s="6">
        <v>7065.4101559999999</v>
      </c>
      <c r="E838" s="6">
        <v>7066.2700199999999</v>
      </c>
      <c r="F838" s="6">
        <v>7066.2700199999999</v>
      </c>
      <c r="G838" s="4">
        <v>1987020000</v>
      </c>
      <c r="H838">
        <f t="shared" si="13"/>
        <v>-7.5468455640364191E-3</v>
      </c>
    </row>
    <row r="839" spans="1:8" x14ac:dyDescent="0.3">
      <c r="A839" s="5">
        <v>43221</v>
      </c>
      <c r="B839" s="6">
        <v>7053.6499020000001</v>
      </c>
      <c r="C839" s="6">
        <v>7133.2700199999999</v>
      </c>
      <c r="D839" s="6">
        <v>7036.1801759999998</v>
      </c>
      <c r="E839" s="6">
        <v>7130.7001950000003</v>
      </c>
      <c r="F839" s="6">
        <v>7130.7001950000003</v>
      </c>
      <c r="G839" s="4">
        <v>1929110000</v>
      </c>
      <c r="H839">
        <f t="shared" si="13"/>
        <v>9.076671482552973E-3</v>
      </c>
    </row>
    <row r="840" spans="1:8" x14ac:dyDescent="0.3">
      <c r="A840" s="5">
        <v>43222</v>
      </c>
      <c r="B840" s="6">
        <v>7138.4501950000003</v>
      </c>
      <c r="C840" s="6">
        <v>7169.4599609999996</v>
      </c>
      <c r="D840" s="6">
        <v>7094.7202150000003</v>
      </c>
      <c r="E840" s="6">
        <v>7100.8999020000001</v>
      </c>
      <c r="F840" s="6">
        <v>7100.8999020000001</v>
      </c>
      <c r="G840" s="4">
        <v>2144200000</v>
      </c>
      <c r="H840">
        <f t="shared" si="13"/>
        <v>-4.1879108956809465E-3</v>
      </c>
    </row>
    <row r="841" spans="1:8" x14ac:dyDescent="0.3">
      <c r="A841" s="5">
        <v>43223</v>
      </c>
      <c r="B841" s="6">
        <v>7065.0297849999997</v>
      </c>
      <c r="C841" s="6">
        <v>7112.5898440000001</v>
      </c>
      <c r="D841" s="6">
        <v>6991.1401370000003</v>
      </c>
      <c r="E841" s="6">
        <v>7088.1499020000001</v>
      </c>
      <c r="F841" s="6">
        <v>7088.1499020000001</v>
      </c>
      <c r="G841" s="4">
        <v>2345740000</v>
      </c>
      <c r="H841">
        <f t="shared" si="13"/>
        <v>-1.797160994960356E-3</v>
      </c>
    </row>
    <row r="842" spans="1:8" x14ac:dyDescent="0.3">
      <c r="A842" s="5">
        <v>43224</v>
      </c>
      <c r="B842" s="6">
        <v>7065.669922</v>
      </c>
      <c r="C842" s="6">
        <v>7228.2597660000001</v>
      </c>
      <c r="D842" s="6">
        <v>7057.8901370000003</v>
      </c>
      <c r="E842" s="6">
        <v>7209.6201170000004</v>
      </c>
      <c r="F842" s="6">
        <v>7209.6201170000004</v>
      </c>
      <c r="G842" s="4">
        <v>2022230000</v>
      </c>
      <c r="H842">
        <f t="shared" si="13"/>
        <v>1.6991899778082638E-2</v>
      </c>
    </row>
    <row r="843" spans="1:8" x14ac:dyDescent="0.3">
      <c r="A843" s="5">
        <v>43227</v>
      </c>
      <c r="B843" s="6">
        <v>7241.8198240000002</v>
      </c>
      <c r="C843" s="6">
        <v>7291.7402339999999</v>
      </c>
      <c r="D843" s="6">
        <v>7235.7597660000001</v>
      </c>
      <c r="E843" s="6">
        <v>7265.2099609999996</v>
      </c>
      <c r="F843" s="6">
        <v>7265.2099609999996</v>
      </c>
      <c r="G843" s="4">
        <v>1939980000</v>
      </c>
      <c r="H843">
        <f t="shared" si="13"/>
        <v>7.6809353894914372E-3</v>
      </c>
    </row>
    <row r="844" spans="1:8" x14ac:dyDescent="0.3">
      <c r="A844" s="5">
        <v>43228</v>
      </c>
      <c r="B844" s="6">
        <v>7255.3398440000001</v>
      </c>
      <c r="C844" s="6">
        <v>7278.8100590000004</v>
      </c>
      <c r="D844" s="6">
        <v>7224.7001950000003</v>
      </c>
      <c r="E844" s="6">
        <v>7266.8999020000001</v>
      </c>
      <c r="F844" s="6">
        <v>7266.8999020000001</v>
      </c>
      <c r="G844" s="4">
        <v>2054830000</v>
      </c>
      <c r="H844">
        <f t="shared" si="13"/>
        <v>2.3258026859822423E-4</v>
      </c>
    </row>
    <row r="845" spans="1:8" x14ac:dyDescent="0.3">
      <c r="A845" s="5">
        <v>43229</v>
      </c>
      <c r="B845" s="6">
        <v>7281.5297849999997</v>
      </c>
      <c r="C845" s="6">
        <v>7344.7998049999997</v>
      </c>
      <c r="D845" s="6">
        <v>7259.0498049999997</v>
      </c>
      <c r="E845" s="6">
        <v>7339.9101559999999</v>
      </c>
      <c r="F845" s="6">
        <v>7339.9101559999999</v>
      </c>
      <c r="G845" s="4">
        <v>2241480000</v>
      </c>
      <c r="H845">
        <f t="shared" si="13"/>
        <v>9.9968250071821464E-3</v>
      </c>
    </row>
    <row r="846" spans="1:8" x14ac:dyDescent="0.3">
      <c r="A846" s="5">
        <v>43230</v>
      </c>
      <c r="B846" s="6">
        <v>7355.8999020000001</v>
      </c>
      <c r="C846" s="6">
        <v>7414.1499020000001</v>
      </c>
      <c r="D846" s="6">
        <v>7353.6298829999996</v>
      </c>
      <c r="E846" s="6">
        <v>7404.9702150000003</v>
      </c>
      <c r="F846" s="6">
        <v>7404.9702150000003</v>
      </c>
      <c r="G846" s="4">
        <v>2233460000</v>
      </c>
      <c r="H846">
        <f t="shared" si="13"/>
        <v>8.8248232048957227E-3</v>
      </c>
    </row>
    <row r="847" spans="1:8" x14ac:dyDescent="0.3">
      <c r="A847" s="5">
        <v>43231</v>
      </c>
      <c r="B847" s="6">
        <v>7393.9702150000003</v>
      </c>
      <c r="C847" s="6">
        <v>7417.669922</v>
      </c>
      <c r="D847" s="6">
        <v>7372.2597660000001</v>
      </c>
      <c r="E847" s="6">
        <v>7402.8798829999996</v>
      </c>
      <c r="F847" s="6">
        <v>7402.8798829999996</v>
      </c>
      <c r="G847" s="4">
        <v>2083030000</v>
      </c>
      <c r="H847">
        <f t="shared" si="13"/>
        <v>-2.8232754924598677E-4</v>
      </c>
    </row>
    <row r="848" spans="1:8" x14ac:dyDescent="0.3">
      <c r="A848" s="5">
        <v>43234</v>
      </c>
      <c r="B848" s="6">
        <v>7429.4501950000003</v>
      </c>
      <c r="C848" s="6">
        <v>7458.419922</v>
      </c>
      <c r="D848" s="6">
        <v>7401.8901370000003</v>
      </c>
      <c r="E848" s="6">
        <v>7411.3198240000002</v>
      </c>
      <c r="F848" s="6">
        <v>7411.3198240000002</v>
      </c>
      <c r="G848" s="4">
        <v>2075670000</v>
      </c>
      <c r="H848">
        <f t="shared" si="13"/>
        <v>1.1394394675480497E-3</v>
      </c>
    </row>
    <row r="849" spans="1:8" x14ac:dyDescent="0.3">
      <c r="A849" s="5">
        <v>43235</v>
      </c>
      <c r="B849" s="6">
        <v>7361.2998049999997</v>
      </c>
      <c r="C849" s="6">
        <v>7363.5200199999999</v>
      </c>
      <c r="D849" s="6">
        <v>7320.9702150000003</v>
      </c>
      <c r="E849" s="6">
        <v>7351.6298829999996</v>
      </c>
      <c r="F849" s="6">
        <v>7351.6298829999996</v>
      </c>
      <c r="G849" s="4">
        <v>2114040000</v>
      </c>
      <c r="H849">
        <f t="shared" si="13"/>
        <v>-8.0864959173876753E-3</v>
      </c>
    </row>
    <row r="850" spans="1:8" x14ac:dyDescent="0.3">
      <c r="A850" s="5">
        <v>43236</v>
      </c>
      <c r="B850" s="6">
        <v>7356.2202150000003</v>
      </c>
      <c r="C850" s="6">
        <v>7413.3198240000002</v>
      </c>
      <c r="D850" s="6">
        <v>7356.1601559999999</v>
      </c>
      <c r="E850" s="6">
        <v>7398.2998049999997</v>
      </c>
      <c r="F850" s="6">
        <v>7398.2998049999997</v>
      </c>
      <c r="G850" s="4">
        <v>2083660000</v>
      </c>
      <c r="H850">
        <f t="shared" si="13"/>
        <v>6.3281763007256575E-3</v>
      </c>
    </row>
    <row r="851" spans="1:8" x14ac:dyDescent="0.3">
      <c r="A851" s="5">
        <v>43237</v>
      </c>
      <c r="B851" s="6">
        <v>7379.580078</v>
      </c>
      <c r="C851" s="6">
        <v>7425.3901370000003</v>
      </c>
      <c r="D851" s="6">
        <v>7350.4599609999996</v>
      </c>
      <c r="E851" s="6">
        <v>7382.4702150000003</v>
      </c>
      <c r="F851" s="6">
        <v>7382.4702150000003</v>
      </c>
      <c r="G851" s="4">
        <v>1931700000</v>
      </c>
      <c r="H851">
        <f t="shared" si="13"/>
        <v>-2.1419176444137105E-3</v>
      </c>
    </row>
    <row r="852" spans="1:8" x14ac:dyDescent="0.3">
      <c r="A852" s="5">
        <v>43238</v>
      </c>
      <c r="B852" s="6">
        <v>7364.3398440000001</v>
      </c>
      <c r="C852" s="6">
        <v>7381.1601559999999</v>
      </c>
      <c r="D852" s="6">
        <v>7343.9702150000003</v>
      </c>
      <c r="E852" s="6">
        <v>7354.3398440000001</v>
      </c>
      <c r="F852" s="6">
        <v>7354.3398440000001</v>
      </c>
      <c r="G852" s="4">
        <v>1966710000</v>
      </c>
      <c r="H852">
        <f t="shared" si="13"/>
        <v>-3.8177061458712835E-3</v>
      </c>
    </row>
    <row r="853" spans="1:8" x14ac:dyDescent="0.3">
      <c r="A853" s="5">
        <v>43241</v>
      </c>
      <c r="B853" s="6">
        <v>7406.3398440000001</v>
      </c>
      <c r="C853" s="6">
        <v>7431.830078</v>
      </c>
      <c r="D853" s="6">
        <v>7368.2099609999996</v>
      </c>
      <c r="E853" s="6">
        <v>7394.0400390000004</v>
      </c>
      <c r="F853" s="6">
        <v>7394.0400390000004</v>
      </c>
      <c r="G853" s="4">
        <v>1949100000</v>
      </c>
      <c r="H853">
        <f t="shared" si="13"/>
        <v>5.3836816252625938E-3</v>
      </c>
    </row>
    <row r="854" spans="1:8" x14ac:dyDescent="0.3">
      <c r="A854" s="5">
        <v>43242</v>
      </c>
      <c r="B854" s="6">
        <v>7420.8500979999999</v>
      </c>
      <c r="C854" s="6">
        <v>7432.5297849999997</v>
      </c>
      <c r="D854" s="6">
        <v>7370.330078</v>
      </c>
      <c r="E854" s="6">
        <v>7378.4599609999996</v>
      </c>
      <c r="F854" s="6">
        <v>7378.4599609999996</v>
      </c>
      <c r="G854" s="4">
        <v>1908280000</v>
      </c>
      <c r="H854">
        <f t="shared" si="13"/>
        <v>-2.1093361010935999E-3</v>
      </c>
    </row>
    <row r="855" spans="1:8" x14ac:dyDescent="0.3">
      <c r="A855" s="5">
        <v>43243</v>
      </c>
      <c r="B855" s="6">
        <v>7335.0297849999997</v>
      </c>
      <c r="C855" s="6">
        <v>7426.7797849999997</v>
      </c>
      <c r="D855" s="6">
        <v>7334.6201170000004</v>
      </c>
      <c r="E855" s="6">
        <v>7425.9599609999996</v>
      </c>
      <c r="F855" s="6">
        <v>7425.9599609999996</v>
      </c>
      <c r="G855" s="4">
        <v>1980450000</v>
      </c>
      <c r="H855">
        <f t="shared" si="13"/>
        <v>6.417024543644294E-3</v>
      </c>
    </row>
    <row r="856" spans="1:8" x14ac:dyDescent="0.3">
      <c r="A856" s="5">
        <v>43244</v>
      </c>
      <c r="B856" s="6">
        <v>7421.9902339999999</v>
      </c>
      <c r="C856" s="6">
        <v>7435.3798829999996</v>
      </c>
      <c r="D856" s="6">
        <v>7357.5</v>
      </c>
      <c r="E856" s="6">
        <v>7424.4301759999998</v>
      </c>
      <c r="F856" s="6">
        <v>7424.4301759999998</v>
      </c>
      <c r="G856" s="4">
        <v>1992460000</v>
      </c>
      <c r="H856">
        <f t="shared" si="13"/>
        <v>-2.0602623786961181E-4</v>
      </c>
    </row>
    <row r="857" spans="1:8" x14ac:dyDescent="0.3">
      <c r="A857" s="5">
        <v>43245</v>
      </c>
      <c r="B857" s="6">
        <v>7422.2001950000003</v>
      </c>
      <c r="C857" s="6">
        <v>7452.8500979999999</v>
      </c>
      <c r="D857" s="6">
        <v>7415.580078</v>
      </c>
      <c r="E857" s="6">
        <v>7433.8500979999999</v>
      </c>
      <c r="F857" s="6">
        <v>7433.8500979999999</v>
      </c>
      <c r="G857" s="4">
        <v>1757660000</v>
      </c>
      <c r="H857">
        <f t="shared" si="13"/>
        <v>1.2679695211504131E-3</v>
      </c>
    </row>
    <row r="858" spans="1:8" x14ac:dyDescent="0.3">
      <c r="A858" s="5">
        <v>43249</v>
      </c>
      <c r="B858" s="6">
        <v>7398.5097660000001</v>
      </c>
      <c r="C858" s="6">
        <v>7435.1298829999996</v>
      </c>
      <c r="D858" s="6">
        <v>7354.2900390000004</v>
      </c>
      <c r="E858" s="6">
        <v>7396.5898440000001</v>
      </c>
      <c r="F858" s="6">
        <v>7396.5898440000001</v>
      </c>
      <c r="G858" s="4">
        <v>2087370000</v>
      </c>
      <c r="H858">
        <f t="shared" si="13"/>
        <v>-5.0248451892974102E-3</v>
      </c>
    </row>
    <row r="859" spans="1:8" x14ac:dyDescent="0.3">
      <c r="A859" s="5">
        <v>43250</v>
      </c>
      <c r="B859" s="6">
        <v>7428.4101559999999</v>
      </c>
      <c r="C859" s="6">
        <v>7473.8100590000004</v>
      </c>
      <c r="D859" s="6">
        <v>7423.669922</v>
      </c>
      <c r="E859" s="6">
        <v>7462.4501950000003</v>
      </c>
      <c r="F859" s="6">
        <v>7462.4501950000003</v>
      </c>
      <c r="G859" s="4">
        <v>2049450000</v>
      </c>
      <c r="H859">
        <f t="shared" si="13"/>
        <v>8.8647425570152448E-3</v>
      </c>
    </row>
    <row r="860" spans="1:8" x14ac:dyDescent="0.3">
      <c r="A860" s="5">
        <v>43251</v>
      </c>
      <c r="B860" s="6">
        <v>7455.580078</v>
      </c>
      <c r="C860" s="6">
        <v>7492.419922</v>
      </c>
      <c r="D860" s="6">
        <v>7431.4101559999999</v>
      </c>
      <c r="E860" s="6">
        <v>7442.1201170000004</v>
      </c>
      <c r="F860" s="6">
        <v>7442.1201170000004</v>
      </c>
      <c r="G860" s="4">
        <v>2514610000</v>
      </c>
      <c r="H860">
        <f t="shared" si="13"/>
        <v>-2.7280344461803252E-3</v>
      </c>
    </row>
    <row r="861" spans="1:8" x14ac:dyDescent="0.3">
      <c r="A861" s="5">
        <v>43252</v>
      </c>
      <c r="B861" s="6">
        <v>7487.6601559999999</v>
      </c>
      <c r="C861" s="6">
        <v>7557.3798829999996</v>
      </c>
      <c r="D861" s="6">
        <v>7487.2299800000001</v>
      </c>
      <c r="E861" s="6">
        <v>7554.330078</v>
      </c>
      <c r="F861" s="6">
        <v>7554.330078</v>
      </c>
      <c r="G861" s="4">
        <v>2208600000</v>
      </c>
      <c r="H861">
        <f t="shared" si="13"/>
        <v>1.4965148912523941E-2</v>
      </c>
    </row>
    <row r="862" spans="1:8" x14ac:dyDescent="0.3">
      <c r="A862" s="5">
        <v>43255</v>
      </c>
      <c r="B862" s="6">
        <v>7570.080078</v>
      </c>
      <c r="C862" s="6">
        <v>7607.169922</v>
      </c>
      <c r="D862" s="6">
        <v>7561.2001950000003</v>
      </c>
      <c r="E862" s="6">
        <v>7606.4599609999996</v>
      </c>
      <c r="F862" s="6">
        <v>7606.4599609999996</v>
      </c>
      <c r="G862" s="4">
        <v>2142790000</v>
      </c>
      <c r="H862">
        <f t="shared" si="13"/>
        <v>6.8769619937008603E-3</v>
      </c>
    </row>
    <row r="863" spans="1:8" x14ac:dyDescent="0.3">
      <c r="A863" s="5">
        <v>43256</v>
      </c>
      <c r="B863" s="6">
        <v>7621.3598629999997</v>
      </c>
      <c r="C863" s="6">
        <v>7644.4799800000001</v>
      </c>
      <c r="D863" s="6">
        <v>7602.3798829999996</v>
      </c>
      <c r="E863" s="6">
        <v>7637.8598629999997</v>
      </c>
      <c r="F863" s="6">
        <v>7637.8598629999997</v>
      </c>
      <c r="G863" s="4">
        <v>2058630000</v>
      </c>
      <c r="H863">
        <f t="shared" si="13"/>
        <v>4.1195601731312337E-3</v>
      </c>
    </row>
    <row r="864" spans="1:8" x14ac:dyDescent="0.3">
      <c r="A864" s="5">
        <v>43257</v>
      </c>
      <c r="B864" s="6">
        <v>7652.7998049999997</v>
      </c>
      <c r="C864" s="6">
        <v>7691.6499020000001</v>
      </c>
      <c r="D864" s="6">
        <v>7622.3100590000004</v>
      </c>
      <c r="E864" s="6">
        <v>7689.2402339999999</v>
      </c>
      <c r="F864" s="6">
        <v>7689.2402339999999</v>
      </c>
      <c r="G864" s="4">
        <v>2191750000</v>
      </c>
      <c r="H864">
        <f t="shared" si="13"/>
        <v>6.7045381240486588E-3</v>
      </c>
    </row>
    <row r="865" spans="1:8" x14ac:dyDescent="0.3">
      <c r="A865" s="5">
        <v>43258</v>
      </c>
      <c r="B865" s="6">
        <v>7697.4101559999999</v>
      </c>
      <c r="C865" s="6">
        <v>7697.4101559999999</v>
      </c>
      <c r="D865" s="6">
        <v>7597.6601559999999</v>
      </c>
      <c r="E865" s="6">
        <v>7635.0698240000002</v>
      </c>
      <c r="F865" s="6">
        <v>7635.0698240000002</v>
      </c>
      <c r="G865" s="4">
        <v>2328280000</v>
      </c>
      <c r="H865">
        <f t="shared" si="13"/>
        <v>-7.0698955359156891E-3</v>
      </c>
    </row>
    <row r="866" spans="1:8" x14ac:dyDescent="0.3">
      <c r="A866" s="5">
        <v>43259</v>
      </c>
      <c r="B866" s="6">
        <v>7607.7402339999999</v>
      </c>
      <c r="C866" s="6">
        <v>7653.580078</v>
      </c>
      <c r="D866" s="6">
        <v>7595.1401370000003</v>
      </c>
      <c r="E866" s="6">
        <v>7645.5097660000001</v>
      </c>
      <c r="F866" s="6">
        <v>7645.5097660000001</v>
      </c>
      <c r="G866" s="4">
        <v>1941580000</v>
      </c>
      <c r="H866">
        <f t="shared" si="13"/>
        <v>1.3664329370377288E-3</v>
      </c>
    </row>
    <row r="867" spans="1:8" x14ac:dyDescent="0.3">
      <c r="A867" s="5">
        <v>43262</v>
      </c>
      <c r="B867" s="6">
        <v>7647.2402339999999</v>
      </c>
      <c r="C867" s="6">
        <v>7677.2900390000004</v>
      </c>
      <c r="D867" s="6">
        <v>7642.8701170000004</v>
      </c>
      <c r="E867" s="6">
        <v>7659.9301759999998</v>
      </c>
      <c r="F867" s="6">
        <v>7659.9301759999998</v>
      </c>
      <c r="G867" s="4">
        <v>1942940000</v>
      </c>
      <c r="H867">
        <f t="shared" si="13"/>
        <v>1.8843514883102046E-3</v>
      </c>
    </row>
    <row r="868" spans="1:8" x14ac:dyDescent="0.3">
      <c r="A868" s="5">
        <v>43263</v>
      </c>
      <c r="B868" s="6">
        <v>7673.8701170000004</v>
      </c>
      <c r="C868" s="6">
        <v>7708.25</v>
      </c>
      <c r="D868" s="6">
        <v>7669.5297849999997</v>
      </c>
      <c r="E868" s="6">
        <v>7703.7900390000004</v>
      </c>
      <c r="F868" s="6">
        <v>7703.7900390000004</v>
      </c>
      <c r="G868" s="4">
        <v>2006760000</v>
      </c>
      <c r="H868">
        <f t="shared" si="13"/>
        <v>5.7095523135133617E-3</v>
      </c>
    </row>
    <row r="869" spans="1:8" x14ac:dyDescent="0.3">
      <c r="A869" s="5">
        <v>43264</v>
      </c>
      <c r="B869" s="6">
        <v>7713.8999020000001</v>
      </c>
      <c r="C869" s="6">
        <v>7748.9599609999996</v>
      </c>
      <c r="D869" s="6">
        <v>7686.6499020000001</v>
      </c>
      <c r="E869" s="6">
        <v>7695.7001950000003</v>
      </c>
      <c r="F869" s="6">
        <v>7695.7001950000003</v>
      </c>
      <c r="G869" s="4">
        <v>2172770000</v>
      </c>
      <c r="H869">
        <f t="shared" si="13"/>
        <v>-1.0506639663089498E-3</v>
      </c>
    </row>
    <row r="870" spans="1:8" x14ac:dyDescent="0.3">
      <c r="A870" s="5">
        <v>43265</v>
      </c>
      <c r="B870" s="6">
        <v>7723.5297849999997</v>
      </c>
      <c r="C870" s="6">
        <v>7768.6000979999999</v>
      </c>
      <c r="D870" s="6">
        <v>7723.5297849999997</v>
      </c>
      <c r="E870" s="6">
        <v>7761.0400390000004</v>
      </c>
      <c r="F870" s="6">
        <v>7761.0400390000004</v>
      </c>
      <c r="G870" s="4">
        <v>2188230000</v>
      </c>
      <c r="H870">
        <f t="shared" si="13"/>
        <v>8.4545942053637878E-3</v>
      </c>
    </row>
    <row r="871" spans="1:8" x14ac:dyDescent="0.3">
      <c r="A871" s="5">
        <v>43266</v>
      </c>
      <c r="B871" s="6">
        <v>7725.0297849999997</v>
      </c>
      <c r="C871" s="6">
        <v>7755.7202150000003</v>
      </c>
      <c r="D871" s="6">
        <v>7704.3398440000001</v>
      </c>
      <c r="E871" s="6">
        <v>7746.3798829999996</v>
      </c>
      <c r="F871" s="6">
        <v>7746.3798829999996</v>
      </c>
      <c r="G871" s="4">
        <v>3043790000</v>
      </c>
      <c r="H871">
        <f t="shared" si="13"/>
        <v>-1.8907284952707261E-3</v>
      </c>
    </row>
    <row r="872" spans="1:8" x14ac:dyDescent="0.3">
      <c r="A872" s="5">
        <v>43269</v>
      </c>
      <c r="B872" s="6">
        <v>7692.9599609999996</v>
      </c>
      <c r="C872" s="6">
        <v>7749.3598629999997</v>
      </c>
      <c r="D872" s="6">
        <v>7676.830078</v>
      </c>
      <c r="E872" s="6">
        <v>7747.0297849999997</v>
      </c>
      <c r="F872" s="6">
        <v>7747.0297849999997</v>
      </c>
      <c r="G872" s="4">
        <v>2093950000</v>
      </c>
      <c r="H872">
        <f t="shared" si="13"/>
        <v>8.3893992905034062E-5</v>
      </c>
    </row>
    <row r="873" spans="1:8" x14ac:dyDescent="0.3">
      <c r="A873" s="5">
        <v>43270</v>
      </c>
      <c r="B873" s="6">
        <v>7658.4702150000003</v>
      </c>
      <c r="C873" s="6">
        <v>7727.4101559999999</v>
      </c>
      <c r="D873" s="6">
        <v>7635.7299800000001</v>
      </c>
      <c r="E873" s="6">
        <v>7725.5898440000001</v>
      </c>
      <c r="F873" s="6">
        <v>7725.5898440000001</v>
      </c>
      <c r="G873" s="4">
        <v>2269000000</v>
      </c>
      <c r="H873">
        <f t="shared" si="13"/>
        <v>-2.7713412772029386E-3</v>
      </c>
    </row>
    <row r="874" spans="1:8" x14ac:dyDescent="0.3">
      <c r="A874" s="5">
        <v>43271</v>
      </c>
      <c r="B874" s="6">
        <v>7764.1499020000001</v>
      </c>
      <c r="C874" s="6">
        <v>7806.6000979999999</v>
      </c>
      <c r="D874" s="6">
        <v>7755.4799800000001</v>
      </c>
      <c r="E874" s="6">
        <v>7781.5097660000001</v>
      </c>
      <c r="F874" s="6">
        <v>7781.5097660000001</v>
      </c>
      <c r="G874" s="4">
        <v>2305100000</v>
      </c>
      <c r="H874">
        <f t="shared" si="13"/>
        <v>7.2122016108366336E-3</v>
      </c>
    </row>
    <row r="875" spans="1:8" x14ac:dyDescent="0.3">
      <c r="A875" s="5">
        <v>43272</v>
      </c>
      <c r="B875" s="6">
        <v>7800.2998049999997</v>
      </c>
      <c r="C875" s="6">
        <v>7803.4501950000003</v>
      </c>
      <c r="D875" s="6">
        <v>7699.2001950000003</v>
      </c>
      <c r="E875" s="6">
        <v>7712.9501950000003</v>
      </c>
      <c r="F875" s="6">
        <v>7712.9501950000003</v>
      </c>
      <c r="G875" s="4">
        <v>2315880000</v>
      </c>
      <c r="H875">
        <f t="shared" si="13"/>
        <v>-8.8496170389942338E-3</v>
      </c>
    </row>
    <row r="876" spans="1:8" x14ac:dyDescent="0.3">
      <c r="A876" s="5">
        <v>43273</v>
      </c>
      <c r="B876" s="6">
        <v>7739.6899409999996</v>
      </c>
      <c r="C876" s="6">
        <v>7739.7099609999996</v>
      </c>
      <c r="D876" s="6">
        <v>7679.1201170000004</v>
      </c>
      <c r="E876" s="6">
        <v>7692.8198240000002</v>
      </c>
      <c r="F876" s="6">
        <v>7692.8198240000002</v>
      </c>
      <c r="G876" s="4">
        <v>3928340000</v>
      </c>
      <c r="H876">
        <f t="shared" si="13"/>
        <v>-2.6133562207003138E-3</v>
      </c>
    </row>
    <row r="877" spans="1:8" x14ac:dyDescent="0.3">
      <c r="A877" s="5">
        <v>43276</v>
      </c>
      <c r="B877" s="6">
        <v>7631.1201170000004</v>
      </c>
      <c r="C877" s="6">
        <v>7639.7299800000001</v>
      </c>
      <c r="D877" s="6">
        <v>7477.7299800000001</v>
      </c>
      <c r="E877" s="6">
        <v>7532.0097660000001</v>
      </c>
      <c r="F877" s="6">
        <v>7532.0097660000001</v>
      </c>
      <c r="G877" s="4">
        <v>2415090000</v>
      </c>
      <c r="H877">
        <f t="shared" si="13"/>
        <v>-2.1125496035162835E-2</v>
      </c>
    </row>
    <row r="878" spans="1:8" x14ac:dyDescent="0.3">
      <c r="A878" s="5">
        <v>43277</v>
      </c>
      <c r="B878" s="6">
        <v>7553.7402339999999</v>
      </c>
      <c r="C878" s="6">
        <v>7597.4902339999999</v>
      </c>
      <c r="D878" s="6">
        <v>7527</v>
      </c>
      <c r="E878" s="6">
        <v>7561.6298829999996</v>
      </c>
      <c r="F878" s="6">
        <v>7561.6298829999996</v>
      </c>
      <c r="G878" s="4">
        <v>2058640000</v>
      </c>
      <c r="H878">
        <f t="shared" si="13"/>
        <v>3.9248525487970351E-3</v>
      </c>
    </row>
    <row r="879" spans="1:8" x14ac:dyDescent="0.3">
      <c r="A879" s="5">
        <v>43278</v>
      </c>
      <c r="B879" s="6">
        <v>7586.330078</v>
      </c>
      <c r="C879" s="6">
        <v>7610.669922</v>
      </c>
      <c r="D879" s="6">
        <v>7444.169922</v>
      </c>
      <c r="E879" s="6">
        <v>7445.080078</v>
      </c>
      <c r="F879" s="6">
        <v>7445.080078</v>
      </c>
      <c r="G879" s="4">
        <v>2306430000</v>
      </c>
      <c r="H879">
        <f t="shared" si="13"/>
        <v>-1.5533337922316896E-2</v>
      </c>
    </row>
    <row r="880" spans="1:8" x14ac:dyDescent="0.3">
      <c r="A880" s="5">
        <v>43279</v>
      </c>
      <c r="B880" s="6">
        <v>7438.1098629999997</v>
      </c>
      <c r="C880" s="6">
        <v>7526.0698240000002</v>
      </c>
      <c r="D880" s="6">
        <v>7419.5600590000004</v>
      </c>
      <c r="E880" s="6">
        <v>7503.6801759999998</v>
      </c>
      <c r="F880" s="6">
        <v>7503.6801759999998</v>
      </c>
      <c r="G880" s="4">
        <v>2195400000</v>
      </c>
      <c r="H880">
        <f t="shared" si="13"/>
        <v>7.840168304848431E-3</v>
      </c>
    </row>
    <row r="881" spans="1:8" x14ac:dyDescent="0.3">
      <c r="A881" s="5">
        <v>43280</v>
      </c>
      <c r="B881" s="6">
        <v>7544.1298829999996</v>
      </c>
      <c r="C881" s="6">
        <v>7573.5898440000001</v>
      </c>
      <c r="D881" s="6">
        <v>7502.9501950000003</v>
      </c>
      <c r="E881" s="6">
        <v>7510.2998049999997</v>
      </c>
      <c r="F881" s="6">
        <v>7510.2998049999997</v>
      </c>
      <c r="G881" s="4">
        <v>2192010000</v>
      </c>
      <c r="H881">
        <f t="shared" si="13"/>
        <v>8.8179542497173803E-4</v>
      </c>
    </row>
    <row r="882" spans="1:8" x14ac:dyDescent="0.3">
      <c r="A882" s="5">
        <v>43283</v>
      </c>
      <c r="B882" s="6">
        <v>7451.8999020000001</v>
      </c>
      <c r="C882" s="6">
        <v>7568.1000979999999</v>
      </c>
      <c r="D882" s="6">
        <v>7443.1000979999999</v>
      </c>
      <c r="E882" s="6">
        <v>7567.6899409999996</v>
      </c>
      <c r="F882" s="6">
        <v>7567.6899409999996</v>
      </c>
      <c r="G882" s="4">
        <v>1767910000</v>
      </c>
      <c r="H882">
        <f t="shared" si="13"/>
        <v>7.6124754177454082E-3</v>
      </c>
    </row>
    <row r="883" spans="1:8" x14ac:dyDescent="0.3">
      <c r="A883" s="5">
        <v>43284</v>
      </c>
      <c r="B883" s="6">
        <v>7593.6298829999996</v>
      </c>
      <c r="C883" s="6">
        <v>7594.330078</v>
      </c>
      <c r="D883" s="6">
        <v>7498.5</v>
      </c>
      <c r="E883" s="6">
        <v>7502.669922</v>
      </c>
      <c r="F883" s="6">
        <v>7502.669922</v>
      </c>
      <c r="G883" s="4">
        <v>1179310000</v>
      </c>
      <c r="H883">
        <f t="shared" si="13"/>
        <v>-8.6289143762784699E-3</v>
      </c>
    </row>
    <row r="884" spans="1:8" x14ac:dyDescent="0.3">
      <c r="A884" s="5">
        <v>43286</v>
      </c>
      <c r="B884" s="6">
        <v>7550.6601559999999</v>
      </c>
      <c r="C884" s="6">
        <v>7589.1899409999996</v>
      </c>
      <c r="D884" s="6">
        <v>7511.4301759999998</v>
      </c>
      <c r="E884" s="6">
        <v>7586.4301759999998</v>
      </c>
      <c r="F884" s="6">
        <v>7586.4301759999998</v>
      </c>
      <c r="G884" s="4">
        <v>1745030000</v>
      </c>
      <c r="H884">
        <f t="shared" si="13"/>
        <v>1.1102201430674122E-2</v>
      </c>
    </row>
    <row r="885" spans="1:8" x14ac:dyDescent="0.3">
      <c r="A885" s="5">
        <v>43287</v>
      </c>
      <c r="B885" s="6">
        <v>7595.9301759999998</v>
      </c>
      <c r="C885" s="6">
        <v>7695.8100590000004</v>
      </c>
      <c r="D885" s="6">
        <v>7588.6499020000001</v>
      </c>
      <c r="E885" s="6">
        <v>7688.3901370000003</v>
      </c>
      <c r="F885" s="6">
        <v>7688.3901370000003</v>
      </c>
      <c r="G885" s="4">
        <v>1704580000</v>
      </c>
      <c r="H885">
        <f t="shared" si="13"/>
        <v>1.3350268384657497E-2</v>
      </c>
    </row>
    <row r="886" spans="1:8" x14ac:dyDescent="0.3">
      <c r="A886" s="5">
        <v>43290</v>
      </c>
      <c r="B886" s="6">
        <v>7731.7402339999999</v>
      </c>
      <c r="C886" s="6">
        <v>7757.2797849999997</v>
      </c>
      <c r="D886" s="6">
        <v>7702.0600590000004</v>
      </c>
      <c r="E886" s="6">
        <v>7756.2001950000003</v>
      </c>
      <c r="F886" s="6">
        <v>7756.2001950000003</v>
      </c>
      <c r="G886" s="4">
        <v>1837330000</v>
      </c>
      <c r="H886">
        <f t="shared" si="13"/>
        <v>8.7811320686643109E-3</v>
      </c>
    </row>
    <row r="887" spans="1:8" x14ac:dyDescent="0.3">
      <c r="A887" s="5">
        <v>43291</v>
      </c>
      <c r="B887" s="6">
        <v>7770.6298829999996</v>
      </c>
      <c r="C887" s="6">
        <v>7777.4799800000001</v>
      </c>
      <c r="D887" s="6">
        <v>7731.9799800000001</v>
      </c>
      <c r="E887" s="6">
        <v>7759.2001950000003</v>
      </c>
      <c r="F887" s="6">
        <v>7759.2001950000003</v>
      </c>
      <c r="G887" s="4">
        <v>1725210000</v>
      </c>
      <c r="H887">
        <f t="shared" si="13"/>
        <v>3.8671255165541427E-4</v>
      </c>
    </row>
    <row r="888" spans="1:8" x14ac:dyDescent="0.3">
      <c r="A888" s="5">
        <v>43292</v>
      </c>
      <c r="B888" s="6">
        <v>7698.5097660000001</v>
      </c>
      <c r="C888" s="6">
        <v>7748.1601559999999</v>
      </c>
      <c r="D888" s="6">
        <v>7696.580078</v>
      </c>
      <c r="E888" s="6">
        <v>7716.6098629999997</v>
      </c>
      <c r="F888" s="6">
        <v>7716.6098629999997</v>
      </c>
      <c r="G888" s="4">
        <v>1761420000</v>
      </c>
      <c r="H888">
        <f t="shared" si="13"/>
        <v>-5.504130557919454E-3</v>
      </c>
    </row>
    <row r="889" spans="1:8" x14ac:dyDescent="0.3">
      <c r="A889" s="5">
        <v>43293</v>
      </c>
      <c r="B889" s="6">
        <v>7752.7099609999996</v>
      </c>
      <c r="C889" s="6">
        <v>7825.669922</v>
      </c>
      <c r="D889" s="6">
        <v>7746.7597660000001</v>
      </c>
      <c r="E889" s="6">
        <v>7823.919922</v>
      </c>
      <c r="F889" s="6">
        <v>7823.919922</v>
      </c>
      <c r="G889" s="4">
        <v>1926110000</v>
      </c>
      <c r="H889">
        <f t="shared" si="13"/>
        <v>1.3810567091205471E-2</v>
      </c>
    </row>
    <row r="890" spans="1:8" x14ac:dyDescent="0.3">
      <c r="A890" s="5">
        <v>43294</v>
      </c>
      <c r="B890" s="6">
        <v>7827.6201170000004</v>
      </c>
      <c r="C890" s="6">
        <v>7843.5200199999999</v>
      </c>
      <c r="D890" s="6">
        <v>7803.3398440000001</v>
      </c>
      <c r="E890" s="6">
        <v>7825.9799800000001</v>
      </c>
      <c r="F890" s="6">
        <v>7825.9799800000001</v>
      </c>
      <c r="G890" s="4">
        <v>1714140000</v>
      </c>
      <c r="H890">
        <f t="shared" si="13"/>
        <v>2.6326788347513314E-4</v>
      </c>
    </row>
    <row r="891" spans="1:8" x14ac:dyDescent="0.3">
      <c r="A891" s="5">
        <v>43297</v>
      </c>
      <c r="B891" s="6">
        <v>7831.7402339999999</v>
      </c>
      <c r="C891" s="6">
        <v>7838.8198240000002</v>
      </c>
      <c r="D891" s="6">
        <v>7791.9799800000001</v>
      </c>
      <c r="E891" s="6">
        <v>7805.7202150000003</v>
      </c>
      <c r="F891" s="6">
        <v>7805.7202150000003</v>
      </c>
      <c r="G891" s="4">
        <v>1730190000</v>
      </c>
      <c r="H891">
        <f t="shared" si="13"/>
        <v>-2.5921398301354697E-3</v>
      </c>
    </row>
    <row r="892" spans="1:8" x14ac:dyDescent="0.3">
      <c r="A892" s="5">
        <v>43298</v>
      </c>
      <c r="B892" s="6">
        <v>7751.9702150000003</v>
      </c>
      <c r="C892" s="6">
        <v>7867.1499020000001</v>
      </c>
      <c r="D892" s="6">
        <v>7749.6098629999997</v>
      </c>
      <c r="E892" s="6">
        <v>7855.1201170000004</v>
      </c>
      <c r="F892" s="6">
        <v>7855.1201170000004</v>
      </c>
      <c r="G892" s="4">
        <v>1740680000</v>
      </c>
      <c r="H892">
        <f t="shared" si="13"/>
        <v>6.3087375640575602E-3</v>
      </c>
    </row>
    <row r="893" spans="1:8" x14ac:dyDescent="0.3">
      <c r="A893" s="5">
        <v>43299</v>
      </c>
      <c r="B893" s="6">
        <v>7859.4301759999998</v>
      </c>
      <c r="C893" s="6">
        <v>7863.7700199999999</v>
      </c>
      <c r="D893" s="6">
        <v>7822.830078</v>
      </c>
      <c r="E893" s="6">
        <v>7854.4399409999996</v>
      </c>
      <c r="F893" s="6">
        <v>7854.4399409999996</v>
      </c>
      <c r="G893" s="4">
        <v>1857670000</v>
      </c>
      <c r="H893">
        <f t="shared" si="13"/>
        <v>-8.6593895426016309E-5</v>
      </c>
    </row>
    <row r="894" spans="1:8" x14ac:dyDescent="0.3">
      <c r="A894" s="5">
        <v>43300</v>
      </c>
      <c r="B894" s="6">
        <v>7829.7998049999997</v>
      </c>
      <c r="C894" s="6">
        <v>7849.8500979999999</v>
      </c>
      <c r="D894" s="6">
        <v>7811.1499020000001</v>
      </c>
      <c r="E894" s="6">
        <v>7825.2998049999997</v>
      </c>
      <c r="F894" s="6">
        <v>7825.2998049999997</v>
      </c>
      <c r="G894" s="4">
        <v>1853030000</v>
      </c>
      <c r="H894">
        <f t="shared" si="13"/>
        <v>-3.7169200536263636E-3</v>
      </c>
    </row>
    <row r="895" spans="1:8" x14ac:dyDescent="0.3">
      <c r="A895" s="5">
        <v>43301</v>
      </c>
      <c r="B895" s="6">
        <v>7843.080078</v>
      </c>
      <c r="C895" s="6">
        <v>7860.25</v>
      </c>
      <c r="D895" s="6">
        <v>7815.8598629999997</v>
      </c>
      <c r="E895" s="6">
        <v>7820.2001950000003</v>
      </c>
      <c r="F895" s="6">
        <v>7820.2001950000003</v>
      </c>
      <c r="G895" s="4">
        <v>1786250000</v>
      </c>
      <c r="H895">
        <f t="shared" si="13"/>
        <v>-6.5189481711633507E-4</v>
      </c>
    </row>
    <row r="896" spans="1:8" x14ac:dyDescent="0.3">
      <c r="A896" s="5">
        <v>43304</v>
      </c>
      <c r="B896" s="6">
        <v>7806.9301759999998</v>
      </c>
      <c r="C896" s="6">
        <v>7846.7597660000001</v>
      </c>
      <c r="D896" s="6">
        <v>7776.5498049999997</v>
      </c>
      <c r="E896" s="6">
        <v>7841.8701170000004</v>
      </c>
      <c r="F896" s="6">
        <v>7841.8701170000004</v>
      </c>
      <c r="G896" s="4">
        <v>1654290000</v>
      </c>
      <c r="H896">
        <f t="shared" si="13"/>
        <v>2.7671866357529655E-3</v>
      </c>
    </row>
    <row r="897" spans="1:8" x14ac:dyDescent="0.3">
      <c r="A897" s="5">
        <v>43305</v>
      </c>
      <c r="B897" s="6">
        <v>7914.3500979999999</v>
      </c>
      <c r="C897" s="6">
        <v>7928.7900390000004</v>
      </c>
      <c r="D897" s="6">
        <v>7814.330078</v>
      </c>
      <c r="E897" s="6">
        <v>7840.7700199999999</v>
      </c>
      <c r="F897" s="6">
        <v>7840.7700199999999</v>
      </c>
      <c r="G897" s="4">
        <v>2014850000</v>
      </c>
      <c r="H897">
        <f t="shared" si="13"/>
        <v>-1.4029487282685347E-4</v>
      </c>
    </row>
    <row r="898" spans="1:8" x14ac:dyDescent="0.3">
      <c r="A898" s="5">
        <v>43306</v>
      </c>
      <c r="B898" s="6">
        <v>7839.0898440000001</v>
      </c>
      <c r="C898" s="6">
        <v>7933.3100590000004</v>
      </c>
      <c r="D898" s="6">
        <v>7838.7597660000001</v>
      </c>
      <c r="E898" s="6">
        <v>7932.2402339999999</v>
      </c>
      <c r="F898" s="6">
        <v>7932.2402339999999</v>
      </c>
      <c r="G898" s="4">
        <v>1902790000</v>
      </c>
      <c r="H898">
        <f t="shared" si="13"/>
        <v>1.1598450509661655E-2</v>
      </c>
    </row>
    <row r="899" spans="1:8" x14ac:dyDescent="0.3">
      <c r="A899" s="5">
        <v>43307</v>
      </c>
      <c r="B899" s="6">
        <v>7848.0400390000004</v>
      </c>
      <c r="C899" s="6">
        <v>7881.2998049999997</v>
      </c>
      <c r="D899" s="6">
        <v>7834.080078</v>
      </c>
      <c r="E899" s="6">
        <v>7852.1801759999998</v>
      </c>
      <c r="F899" s="6">
        <v>7852.1801759999998</v>
      </c>
      <c r="G899" s="4">
        <v>2263070000</v>
      </c>
      <c r="H899">
        <f t="shared" si="13"/>
        <v>-1.0144274224364513E-2</v>
      </c>
    </row>
    <row r="900" spans="1:8" x14ac:dyDescent="0.3">
      <c r="A900" s="5">
        <v>43308</v>
      </c>
      <c r="B900" s="6">
        <v>7889.75</v>
      </c>
      <c r="C900" s="6">
        <v>7889.75</v>
      </c>
      <c r="D900" s="6">
        <v>7698.9599609999996</v>
      </c>
      <c r="E900" s="6">
        <v>7737.419922</v>
      </c>
      <c r="F900" s="6">
        <v>7737.419922</v>
      </c>
      <c r="G900" s="4">
        <v>2176170000</v>
      </c>
      <c r="H900">
        <f t="shared" ref="H900:H963" si="14">LN(E900/E899)</f>
        <v>-1.4722934041872259E-2</v>
      </c>
    </row>
    <row r="901" spans="1:8" x14ac:dyDescent="0.3">
      <c r="A901" s="5">
        <v>43311</v>
      </c>
      <c r="B901" s="6">
        <v>7735.2700199999999</v>
      </c>
      <c r="C901" s="6">
        <v>7740.2597660000001</v>
      </c>
      <c r="D901" s="6">
        <v>7604.2402339999999</v>
      </c>
      <c r="E901" s="6">
        <v>7630</v>
      </c>
      <c r="F901" s="6">
        <v>7630</v>
      </c>
      <c r="G901" s="4">
        <v>2143410000</v>
      </c>
      <c r="H901">
        <f t="shared" si="14"/>
        <v>-1.3980443323152745E-2</v>
      </c>
    </row>
    <row r="902" spans="1:8" x14ac:dyDescent="0.3">
      <c r="A902" s="5">
        <v>43312</v>
      </c>
      <c r="B902" s="6">
        <v>7654.5898440000001</v>
      </c>
      <c r="C902" s="6">
        <v>7709.4902339999999</v>
      </c>
      <c r="D902" s="6">
        <v>7614.8398440000001</v>
      </c>
      <c r="E902" s="6">
        <v>7671.7900390000004</v>
      </c>
      <c r="F902" s="6">
        <v>7671.7900390000004</v>
      </c>
      <c r="G902" s="4">
        <v>2195050000</v>
      </c>
      <c r="H902">
        <f t="shared" si="14"/>
        <v>5.4621247309300167E-3</v>
      </c>
    </row>
    <row r="903" spans="1:8" x14ac:dyDescent="0.3">
      <c r="A903" s="5">
        <v>43313</v>
      </c>
      <c r="B903" s="6">
        <v>7701.8198240000002</v>
      </c>
      <c r="C903" s="6">
        <v>7732.6801759999998</v>
      </c>
      <c r="D903" s="6">
        <v>7670.7099609999996</v>
      </c>
      <c r="E903" s="6">
        <v>7707.2900390000004</v>
      </c>
      <c r="F903" s="6">
        <v>7707.2900390000004</v>
      </c>
      <c r="G903" s="4">
        <v>2223550000</v>
      </c>
      <c r="H903">
        <f t="shared" si="14"/>
        <v>4.6166692510559862E-3</v>
      </c>
    </row>
    <row r="904" spans="1:8" x14ac:dyDescent="0.3">
      <c r="A904" s="5">
        <v>43314</v>
      </c>
      <c r="B904" s="6">
        <v>7659.5200199999999</v>
      </c>
      <c r="C904" s="6">
        <v>7808.8500979999999</v>
      </c>
      <c r="D904" s="6">
        <v>7659.5200199999999</v>
      </c>
      <c r="E904" s="6">
        <v>7802.6899409999996</v>
      </c>
      <c r="F904" s="6">
        <v>7802.6899409999996</v>
      </c>
      <c r="G904" s="4">
        <v>2081300000</v>
      </c>
      <c r="H904">
        <f t="shared" si="14"/>
        <v>1.2301899195963124E-2</v>
      </c>
    </row>
    <row r="905" spans="1:8" x14ac:dyDescent="0.3">
      <c r="A905" s="5">
        <v>43315</v>
      </c>
      <c r="B905" s="6">
        <v>7819.2299800000001</v>
      </c>
      <c r="C905" s="6">
        <v>7824.0600590000004</v>
      </c>
      <c r="D905" s="6">
        <v>7783.2998049999997</v>
      </c>
      <c r="E905" s="6">
        <v>7812.0097660000001</v>
      </c>
      <c r="F905" s="6">
        <v>7812.0097660000001</v>
      </c>
      <c r="G905" s="4">
        <v>2018700000</v>
      </c>
      <c r="H905">
        <f t="shared" si="14"/>
        <v>1.1937246673446055E-3</v>
      </c>
    </row>
    <row r="906" spans="1:8" x14ac:dyDescent="0.3">
      <c r="A906" s="5">
        <v>43318</v>
      </c>
      <c r="B906" s="6">
        <v>7809.5400390000004</v>
      </c>
      <c r="C906" s="6">
        <v>7859.6801759999998</v>
      </c>
      <c r="D906" s="6">
        <v>7801.8798829999996</v>
      </c>
      <c r="E906" s="6">
        <v>7859.6801759999998</v>
      </c>
      <c r="F906" s="6">
        <v>7859.6801759999998</v>
      </c>
      <c r="G906" s="4">
        <v>2238170000</v>
      </c>
      <c r="H906">
        <f t="shared" si="14"/>
        <v>6.0836523952564649E-3</v>
      </c>
    </row>
    <row r="907" spans="1:8" x14ac:dyDescent="0.3">
      <c r="A907" s="5">
        <v>43319</v>
      </c>
      <c r="B907" s="6">
        <v>7878.6201170000004</v>
      </c>
      <c r="C907" s="6">
        <v>7898.2001950000003</v>
      </c>
      <c r="D907" s="6">
        <v>7868.6499020000001</v>
      </c>
      <c r="E907" s="6">
        <v>7883.6601559999999</v>
      </c>
      <c r="F907" s="6">
        <v>7883.6601559999999</v>
      </c>
      <c r="G907" s="4">
        <v>2197590000</v>
      </c>
      <c r="H907">
        <f t="shared" si="14"/>
        <v>3.0463672943002282E-3</v>
      </c>
    </row>
    <row r="908" spans="1:8" x14ac:dyDescent="0.3">
      <c r="A908" s="5">
        <v>43320</v>
      </c>
      <c r="B908" s="6">
        <v>7880</v>
      </c>
      <c r="C908" s="6">
        <v>7901.6899409999996</v>
      </c>
      <c r="D908" s="6">
        <v>7864.4599609999996</v>
      </c>
      <c r="E908" s="6">
        <v>7888.330078</v>
      </c>
      <c r="F908" s="6">
        <v>7888.330078</v>
      </c>
      <c r="G908" s="4">
        <v>2087850000</v>
      </c>
      <c r="H908">
        <f t="shared" si="14"/>
        <v>5.9217918185139329E-4</v>
      </c>
    </row>
    <row r="909" spans="1:8" x14ac:dyDescent="0.3">
      <c r="A909" s="5">
        <v>43321</v>
      </c>
      <c r="B909" s="6">
        <v>7886.5200199999999</v>
      </c>
      <c r="C909" s="6">
        <v>7923.3500979999999</v>
      </c>
      <c r="D909" s="6">
        <v>7881.0600590000004</v>
      </c>
      <c r="E909" s="6">
        <v>7891.7797849999997</v>
      </c>
      <c r="F909" s="6">
        <v>7891.7797849999997</v>
      </c>
      <c r="G909" s="4">
        <v>2032950000</v>
      </c>
      <c r="H909">
        <f t="shared" si="14"/>
        <v>4.3722218475079455E-4</v>
      </c>
    </row>
    <row r="910" spans="1:8" x14ac:dyDescent="0.3">
      <c r="A910" s="5">
        <v>43322</v>
      </c>
      <c r="B910" s="6">
        <v>7834.7099609999996</v>
      </c>
      <c r="C910" s="6">
        <v>7866.1899409999996</v>
      </c>
      <c r="D910" s="6">
        <v>7818.3701170000004</v>
      </c>
      <c r="E910" s="6">
        <v>7839.1098629999997</v>
      </c>
      <c r="F910" s="6">
        <v>7839.1098629999997</v>
      </c>
      <c r="G910" s="4">
        <v>2095180000</v>
      </c>
      <c r="H910">
        <f t="shared" si="14"/>
        <v>-6.696394164068171E-3</v>
      </c>
    </row>
    <row r="911" spans="1:8" x14ac:dyDescent="0.3">
      <c r="A911" s="5">
        <v>43325</v>
      </c>
      <c r="B911" s="6">
        <v>7848</v>
      </c>
      <c r="C911" s="6">
        <v>7888.6601559999999</v>
      </c>
      <c r="D911" s="6">
        <v>7814.2700199999999</v>
      </c>
      <c r="E911" s="6">
        <v>7819.7099609999996</v>
      </c>
      <c r="F911" s="6">
        <v>7819.7099609999996</v>
      </c>
      <c r="G911" s="4">
        <v>1914240000</v>
      </c>
      <c r="H911">
        <f t="shared" si="14"/>
        <v>-2.4778255505479704E-3</v>
      </c>
    </row>
    <row r="912" spans="1:8" x14ac:dyDescent="0.3">
      <c r="A912" s="5">
        <v>43326</v>
      </c>
      <c r="B912" s="6">
        <v>7847.8798829999996</v>
      </c>
      <c r="C912" s="6">
        <v>7878.2299800000001</v>
      </c>
      <c r="D912" s="6">
        <v>7815.5</v>
      </c>
      <c r="E912" s="6">
        <v>7870.8901370000003</v>
      </c>
      <c r="F912" s="6">
        <v>7870.8901370000003</v>
      </c>
      <c r="G912" s="4">
        <v>1917360000</v>
      </c>
      <c r="H912">
        <f t="shared" si="14"/>
        <v>6.5236966328044051E-3</v>
      </c>
    </row>
    <row r="913" spans="1:8" x14ac:dyDescent="0.3">
      <c r="A913" s="5">
        <v>43327</v>
      </c>
      <c r="B913" s="6">
        <v>7810.0200199999999</v>
      </c>
      <c r="C913" s="6">
        <v>7832.6601559999999</v>
      </c>
      <c r="D913" s="6">
        <v>7732.6899409999996</v>
      </c>
      <c r="E913" s="6">
        <v>7774.1201170000004</v>
      </c>
      <c r="F913" s="6">
        <v>7774.1201170000004</v>
      </c>
      <c r="G913" s="4">
        <v>2286960000</v>
      </c>
      <c r="H913">
        <f t="shared" si="14"/>
        <v>-1.2370877686227296E-2</v>
      </c>
    </row>
    <row r="914" spans="1:8" x14ac:dyDescent="0.3">
      <c r="A914" s="5">
        <v>43328</v>
      </c>
      <c r="B914" s="6">
        <v>7826.9501950000003</v>
      </c>
      <c r="C914" s="6">
        <v>7849.669922</v>
      </c>
      <c r="D914" s="6">
        <v>7795.7402339999999</v>
      </c>
      <c r="E914" s="6">
        <v>7806.5200199999999</v>
      </c>
      <c r="F914" s="6">
        <v>7806.5200199999999</v>
      </c>
      <c r="G914" s="4">
        <v>1979540000</v>
      </c>
      <c r="H914">
        <f t="shared" si="14"/>
        <v>4.1590010959289608E-3</v>
      </c>
    </row>
    <row r="915" spans="1:8" x14ac:dyDescent="0.3">
      <c r="A915" s="5">
        <v>43329</v>
      </c>
      <c r="B915" s="6">
        <v>7786.6401370000003</v>
      </c>
      <c r="C915" s="6">
        <v>7830.7797849999997</v>
      </c>
      <c r="D915" s="6">
        <v>7752.6801759999998</v>
      </c>
      <c r="E915" s="6">
        <v>7816.330078</v>
      </c>
      <c r="F915" s="6">
        <v>7816.330078</v>
      </c>
      <c r="G915" s="4">
        <v>1843150000</v>
      </c>
      <c r="H915">
        <f t="shared" si="14"/>
        <v>1.2558603875501828E-3</v>
      </c>
    </row>
    <row r="916" spans="1:8" x14ac:dyDescent="0.3">
      <c r="A916" s="5">
        <v>43332</v>
      </c>
      <c r="B916" s="6">
        <v>7834.3701170000004</v>
      </c>
      <c r="C916" s="6">
        <v>7837.1401370000003</v>
      </c>
      <c r="D916" s="6">
        <v>7787.8999020000001</v>
      </c>
      <c r="E916" s="6">
        <v>7821.0097660000001</v>
      </c>
      <c r="F916" s="6">
        <v>7821.0097660000001</v>
      </c>
      <c r="G916" s="4">
        <v>1698970000</v>
      </c>
      <c r="H916">
        <f t="shared" si="14"/>
        <v>5.9852739486219888E-4</v>
      </c>
    </row>
    <row r="917" spans="1:8" x14ac:dyDescent="0.3">
      <c r="A917" s="5">
        <v>43333</v>
      </c>
      <c r="B917" s="6">
        <v>7840.0898440000001</v>
      </c>
      <c r="C917" s="6">
        <v>7897.6801759999998</v>
      </c>
      <c r="D917" s="6">
        <v>7836.7900390000004</v>
      </c>
      <c r="E917" s="6">
        <v>7859.169922</v>
      </c>
      <c r="F917" s="6">
        <v>7859.169922</v>
      </c>
      <c r="G917" s="4">
        <v>1766630000</v>
      </c>
      <c r="H917">
        <f t="shared" si="14"/>
        <v>4.8673206680481815E-3</v>
      </c>
    </row>
    <row r="918" spans="1:8" x14ac:dyDescent="0.3">
      <c r="A918" s="5">
        <v>43334</v>
      </c>
      <c r="B918" s="6">
        <v>7844.0400390000004</v>
      </c>
      <c r="C918" s="6">
        <v>7897.6298829999996</v>
      </c>
      <c r="D918" s="6">
        <v>7840.8398440000001</v>
      </c>
      <c r="E918" s="6">
        <v>7889.1000979999999</v>
      </c>
      <c r="F918" s="6">
        <v>7889.1000979999999</v>
      </c>
      <c r="G918" s="4">
        <v>1660460000</v>
      </c>
      <c r="H918">
        <f t="shared" si="14"/>
        <v>3.8010793564526094E-3</v>
      </c>
    </row>
    <row r="919" spans="1:8" x14ac:dyDescent="0.3">
      <c r="A919" s="5">
        <v>43335</v>
      </c>
      <c r="B919" s="6">
        <v>7886.4702150000003</v>
      </c>
      <c r="C919" s="6">
        <v>7926.3198240000002</v>
      </c>
      <c r="D919" s="6">
        <v>7866.5297849999997</v>
      </c>
      <c r="E919" s="6">
        <v>7878.4599609999996</v>
      </c>
      <c r="F919" s="6">
        <v>7878.4599609999996</v>
      </c>
      <c r="G919" s="4">
        <v>1879890000</v>
      </c>
      <c r="H919">
        <f t="shared" si="14"/>
        <v>-1.3496239843396281E-3</v>
      </c>
    </row>
    <row r="920" spans="1:8" x14ac:dyDescent="0.3">
      <c r="A920" s="5">
        <v>43336</v>
      </c>
      <c r="B920" s="6">
        <v>7907.8100590000004</v>
      </c>
      <c r="C920" s="6">
        <v>7949.7099609999996</v>
      </c>
      <c r="D920" s="6">
        <v>7907.1000979999999</v>
      </c>
      <c r="E920" s="6">
        <v>7945.9799800000001</v>
      </c>
      <c r="F920" s="6">
        <v>7945.9799800000001</v>
      </c>
      <c r="G920" s="4">
        <v>1886600000</v>
      </c>
      <c r="H920">
        <f t="shared" si="14"/>
        <v>8.53368953428125E-3</v>
      </c>
    </row>
    <row r="921" spans="1:8" x14ac:dyDescent="0.3">
      <c r="A921" s="5">
        <v>43339</v>
      </c>
      <c r="B921" s="6">
        <v>7989.6401370000003</v>
      </c>
      <c r="C921" s="6">
        <v>8024.9399409999996</v>
      </c>
      <c r="D921" s="6">
        <v>7976.6000979999999</v>
      </c>
      <c r="E921" s="6">
        <v>8017.8999020000001</v>
      </c>
      <c r="F921" s="6">
        <v>8017.8999020000001</v>
      </c>
      <c r="G921" s="4">
        <v>2319130000</v>
      </c>
      <c r="H921">
        <f t="shared" si="14"/>
        <v>9.0103920991855563E-3</v>
      </c>
    </row>
    <row r="922" spans="1:8" x14ac:dyDescent="0.3">
      <c r="A922" s="5">
        <v>43340</v>
      </c>
      <c r="B922" s="6">
        <v>8039.0097660000001</v>
      </c>
      <c r="C922" s="6">
        <v>8046.3100590000004</v>
      </c>
      <c r="D922" s="6">
        <v>8009.5898440000001</v>
      </c>
      <c r="E922" s="6">
        <v>8030.0400390000004</v>
      </c>
      <c r="F922" s="6">
        <v>8030.0400390000004</v>
      </c>
      <c r="G922" s="4">
        <v>1961300000</v>
      </c>
      <c r="H922">
        <f t="shared" si="14"/>
        <v>1.512984141327415E-3</v>
      </c>
    </row>
    <row r="923" spans="1:8" x14ac:dyDescent="0.3">
      <c r="A923" s="5">
        <v>43341</v>
      </c>
      <c r="B923" s="6">
        <v>8044.3398440000001</v>
      </c>
      <c r="C923" s="6">
        <v>8113.5600590000004</v>
      </c>
      <c r="D923" s="6">
        <v>8042.1000979999999</v>
      </c>
      <c r="E923" s="6">
        <v>8109.6899409999996</v>
      </c>
      <c r="F923" s="6">
        <v>8109.6899409999996</v>
      </c>
      <c r="G923" s="4">
        <v>1897000000</v>
      </c>
      <c r="H923">
        <f t="shared" si="14"/>
        <v>9.8701215841231048E-3</v>
      </c>
    </row>
    <row r="924" spans="1:8" x14ac:dyDescent="0.3">
      <c r="A924" s="5">
        <v>43342</v>
      </c>
      <c r="B924" s="6">
        <v>8094.2001950000003</v>
      </c>
      <c r="C924" s="6">
        <v>8133.2998049999997</v>
      </c>
      <c r="D924" s="6">
        <v>8069.5698240000002</v>
      </c>
      <c r="E924" s="6">
        <v>8088.3598629999997</v>
      </c>
      <c r="F924" s="6">
        <v>8088.3598629999997</v>
      </c>
      <c r="G924" s="4">
        <v>2014450000</v>
      </c>
      <c r="H924">
        <f t="shared" si="14"/>
        <v>-2.6336615317510358E-3</v>
      </c>
    </row>
    <row r="925" spans="1:8" x14ac:dyDescent="0.3">
      <c r="A925" s="5">
        <v>43343</v>
      </c>
      <c r="B925" s="6">
        <v>8079.3100590000004</v>
      </c>
      <c r="C925" s="6">
        <v>8119.8198240000002</v>
      </c>
      <c r="D925" s="6">
        <v>8079.3100590000004</v>
      </c>
      <c r="E925" s="6">
        <v>8109.5400390000004</v>
      </c>
      <c r="F925" s="6">
        <v>8109.5400390000004</v>
      </c>
      <c r="G925" s="4">
        <v>1899910000</v>
      </c>
      <c r="H925">
        <f t="shared" si="14"/>
        <v>2.6151770537348067E-3</v>
      </c>
    </row>
    <row r="926" spans="1:8" x14ac:dyDescent="0.3">
      <c r="A926" s="5">
        <v>43347</v>
      </c>
      <c r="B926" s="6">
        <v>8087.9501950000003</v>
      </c>
      <c r="C926" s="6">
        <v>8104.0698240000002</v>
      </c>
      <c r="D926" s="6">
        <v>8042.1401370000003</v>
      </c>
      <c r="E926" s="6">
        <v>8091.25</v>
      </c>
      <c r="F926" s="6">
        <v>8091.25</v>
      </c>
      <c r="G926" s="4">
        <v>2229520000</v>
      </c>
      <c r="H926">
        <f t="shared" si="14"/>
        <v>-2.2579203516001887E-3</v>
      </c>
    </row>
    <row r="927" spans="1:8" x14ac:dyDescent="0.3">
      <c r="A927" s="5">
        <v>43348</v>
      </c>
      <c r="B927" s="6">
        <v>8073.5297849999997</v>
      </c>
      <c r="C927" s="6">
        <v>8077.8398440000001</v>
      </c>
      <c r="D927" s="6">
        <v>7962.3500979999999</v>
      </c>
      <c r="E927" s="6">
        <v>7995.169922</v>
      </c>
      <c r="F927" s="6">
        <v>7995.169922</v>
      </c>
      <c r="G927" s="4">
        <v>2596780000</v>
      </c>
      <c r="H927">
        <f t="shared" si="14"/>
        <v>-1.1945631284060114E-2</v>
      </c>
    </row>
    <row r="928" spans="1:8" x14ac:dyDescent="0.3">
      <c r="A928" s="5">
        <v>43349</v>
      </c>
      <c r="B928" s="6">
        <v>7998.2700199999999</v>
      </c>
      <c r="C928" s="6">
        <v>8001.9702150000003</v>
      </c>
      <c r="D928" s="6">
        <v>7885.4902339999999</v>
      </c>
      <c r="E928" s="6">
        <v>7922.7299800000001</v>
      </c>
      <c r="F928" s="6">
        <v>7922.7299800000001</v>
      </c>
      <c r="G928" s="4">
        <v>2368680000</v>
      </c>
      <c r="H928">
        <f t="shared" si="14"/>
        <v>-9.1017587162258717E-3</v>
      </c>
    </row>
    <row r="929" spans="1:8" x14ac:dyDescent="0.3">
      <c r="A929" s="5">
        <v>43350</v>
      </c>
      <c r="B929" s="6">
        <v>7878.7900390000004</v>
      </c>
      <c r="C929" s="6">
        <v>7962.5297849999997</v>
      </c>
      <c r="D929" s="6">
        <v>7873.9301759999998</v>
      </c>
      <c r="E929" s="6">
        <v>7902.5400390000004</v>
      </c>
      <c r="F929" s="6">
        <v>7902.5400390000004</v>
      </c>
      <c r="G929" s="4">
        <v>2146380000</v>
      </c>
      <c r="H929">
        <f t="shared" si="14"/>
        <v>-2.551609158010571E-3</v>
      </c>
    </row>
    <row r="930" spans="1:8" x14ac:dyDescent="0.3">
      <c r="A930" s="5">
        <v>43353</v>
      </c>
      <c r="B930" s="6">
        <v>7939.5698240000002</v>
      </c>
      <c r="C930" s="6">
        <v>7945.0297849999997</v>
      </c>
      <c r="D930" s="6">
        <v>7890.3901370000003</v>
      </c>
      <c r="E930" s="6">
        <v>7924.1601559999999</v>
      </c>
      <c r="F930" s="6">
        <v>7924.1601559999999</v>
      </c>
      <c r="G930" s="4">
        <v>2041450000</v>
      </c>
      <c r="H930">
        <f t="shared" si="14"/>
        <v>2.7321084221070446E-3</v>
      </c>
    </row>
    <row r="931" spans="1:8" x14ac:dyDescent="0.3">
      <c r="A931" s="5">
        <v>43354</v>
      </c>
      <c r="B931" s="6">
        <v>7894.8701170000004</v>
      </c>
      <c r="C931" s="6">
        <v>7986.3198240000002</v>
      </c>
      <c r="D931" s="6">
        <v>7880.919922</v>
      </c>
      <c r="E931" s="6">
        <v>7972.4702150000003</v>
      </c>
      <c r="F931" s="6">
        <v>7972.4702150000003</v>
      </c>
      <c r="G931" s="4">
        <v>2336600000</v>
      </c>
      <c r="H931">
        <f t="shared" si="14"/>
        <v>6.0780437863156662E-3</v>
      </c>
    </row>
    <row r="932" spans="1:8" x14ac:dyDescent="0.3">
      <c r="A932" s="5">
        <v>43355</v>
      </c>
      <c r="B932" s="6">
        <v>7958.8701170000004</v>
      </c>
      <c r="C932" s="6">
        <v>7965.3901370000003</v>
      </c>
      <c r="D932" s="6">
        <v>7884.0498049999997</v>
      </c>
      <c r="E932" s="6">
        <v>7954.2299800000001</v>
      </c>
      <c r="F932" s="6">
        <v>7954.2299800000001</v>
      </c>
      <c r="G932" s="4">
        <v>2341850000</v>
      </c>
      <c r="H932">
        <f t="shared" si="14"/>
        <v>-2.2905238061186545E-3</v>
      </c>
    </row>
    <row r="933" spans="1:8" x14ac:dyDescent="0.3">
      <c r="A933" s="5">
        <v>43356</v>
      </c>
      <c r="B933" s="6">
        <v>7999.9301759999998</v>
      </c>
      <c r="C933" s="6">
        <v>8037.5097660000001</v>
      </c>
      <c r="D933" s="6">
        <v>7989.8500979999999</v>
      </c>
      <c r="E933" s="6">
        <v>8013.7099609999996</v>
      </c>
      <c r="F933" s="6">
        <v>8013.7099609999996</v>
      </c>
      <c r="G933" s="4">
        <v>2318720000</v>
      </c>
      <c r="H933">
        <f t="shared" si="14"/>
        <v>7.4499598976275729E-3</v>
      </c>
    </row>
    <row r="934" spans="1:8" x14ac:dyDescent="0.3">
      <c r="A934" s="5">
        <v>43357</v>
      </c>
      <c r="B934" s="6">
        <v>8026.1601559999999</v>
      </c>
      <c r="C934" s="6">
        <v>8040.830078</v>
      </c>
      <c r="D934" s="6">
        <v>7979.7797849999997</v>
      </c>
      <c r="E934" s="6">
        <v>8010.0400390000004</v>
      </c>
      <c r="F934" s="6">
        <v>8010.0400390000004</v>
      </c>
      <c r="G934" s="4">
        <v>2033720000</v>
      </c>
      <c r="H934">
        <f t="shared" si="14"/>
        <v>-4.5806032472644321E-4</v>
      </c>
    </row>
    <row r="935" spans="1:8" x14ac:dyDescent="0.3">
      <c r="A935" s="5">
        <v>43360</v>
      </c>
      <c r="B935" s="6">
        <v>7992.2099609999996</v>
      </c>
      <c r="C935" s="6">
        <v>8002.7797849999997</v>
      </c>
      <c r="D935" s="6">
        <v>7890.0698240000002</v>
      </c>
      <c r="E935" s="6">
        <v>7895.7900390000004</v>
      </c>
      <c r="F935" s="6">
        <v>7895.7900390000004</v>
      </c>
      <c r="G935" s="4">
        <v>2284140000</v>
      </c>
      <c r="H935">
        <f t="shared" si="14"/>
        <v>-1.4366048722323809E-2</v>
      </c>
    </row>
    <row r="936" spans="1:8" x14ac:dyDescent="0.3">
      <c r="A936" s="5">
        <v>43361</v>
      </c>
      <c r="B936" s="6">
        <v>7903.5698240000002</v>
      </c>
      <c r="C936" s="6">
        <v>7986.1000979999999</v>
      </c>
      <c r="D936" s="6">
        <v>7901.0097660000001</v>
      </c>
      <c r="E936" s="6">
        <v>7956.1098629999997</v>
      </c>
      <c r="F936" s="6">
        <v>7956.1098629999997</v>
      </c>
      <c r="G936" s="4">
        <v>2317990000</v>
      </c>
      <c r="H936">
        <f t="shared" si="14"/>
        <v>7.6104587477465241E-3</v>
      </c>
    </row>
    <row r="937" spans="1:8" x14ac:dyDescent="0.3">
      <c r="A937" s="5">
        <v>43362</v>
      </c>
      <c r="B937" s="6">
        <v>7962.5498049999997</v>
      </c>
      <c r="C937" s="6">
        <v>7976.1201170000004</v>
      </c>
      <c r="D937" s="6">
        <v>7917.7299800000001</v>
      </c>
      <c r="E937" s="6">
        <v>7950.0400390000004</v>
      </c>
      <c r="F937" s="6">
        <v>7950.0400390000004</v>
      </c>
      <c r="G937" s="4">
        <v>2156730000</v>
      </c>
      <c r="H937">
        <f t="shared" si="14"/>
        <v>-7.6320471415479093E-4</v>
      </c>
    </row>
    <row r="938" spans="1:8" x14ac:dyDescent="0.3">
      <c r="A938" s="5">
        <v>43363</v>
      </c>
      <c r="B938" s="6">
        <v>7993.5297849999997</v>
      </c>
      <c r="C938" s="6">
        <v>8039.0600590000004</v>
      </c>
      <c r="D938" s="6">
        <v>7986.4101559999999</v>
      </c>
      <c r="E938" s="6">
        <v>8028.2299800000001</v>
      </c>
      <c r="F938" s="6">
        <v>8028.2299800000001</v>
      </c>
      <c r="G938" s="4">
        <v>2287150000</v>
      </c>
      <c r="H938">
        <f t="shared" si="14"/>
        <v>9.7871127526866081E-3</v>
      </c>
    </row>
    <row r="939" spans="1:8" x14ac:dyDescent="0.3">
      <c r="A939" s="5">
        <v>43364</v>
      </c>
      <c r="B939" s="6">
        <v>8041.6899409999996</v>
      </c>
      <c r="C939" s="6">
        <v>8057.2597660000001</v>
      </c>
      <c r="D939" s="6">
        <v>7979.669922</v>
      </c>
      <c r="E939" s="6">
        <v>7986.9599609999996</v>
      </c>
      <c r="F939" s="6">
        <v>7986.9599609999996</v>
      </c>
      <c r="G939" s="4">
        <v>3706820000</v>
      </c>
      <c r="H939">
        <f t="shared" si="14"/>
        <v>-5.1538708569188922E-3</v>
      </c>
    </row>
    <row r="940" spans="1:8" x14ac:dyDescent="0.3">
      <c r="A940" s="5">
        <v>43367</v>
      </c>
      <c r="B940" s="6">
        <v>7939.3798829999996</v>
      </c>
      <c r="C940" s="6">
        <v>7997.8999020000001</v>
      </c>
      <c r="D940" s="6">
        <v>7912.4702150000003</v>
      </c>
      <c r="E940" s="6">
        <v>7993.25</v>
      </c>
      <c r="F940" s="6">
        <v>7993.25</v>
      </c>
      <c r="G940" s="4">
        <v>2416380000</v>
      </c>
      <c r="H940">
        <f t="shared" si="14"/>
        <v>7.8722862092491051E-4</v>
      </c>
    </row>
    <row r="941" spans="1:8" x14ac:dyDescent="0.3">
      <c r="A941" s="5">
        <v>43368</v>
      </c>
      <c r="B941" s="6">
        <v>8001.5898440000001</v>
      </c>
      <c r="C941" s="6">
        <v>8014.1201170000004</v>
      </c>
      <c r="D941" s="6">
        <v>7979.2900390000004</v>
      </c>
      <c r="E941" s="6">
        <v>8007.4702150000003</v>
      </c>
      <c r="F941" s="6">
        <v>8007.4702150000003</v>
      </c>
      <c r="G941" s="4">
        <v>2288140000</v>
      </c>
      <c r="H941">
        <f t="shared" si="14"/>
        <v>1.7774473339666908E-3</v>
      </c>
    </row>
    <row r="942" spans="1:8" x14ac:dyDescent="0.3">
      <c r="A942" s="5">
        <v>43369</v>
      </c>
      <c r="B942" s="6">
        <v>8011.6801759999998</v>
      </c>
      <c r="C942" s="6">
        <v>8067.0297849999997</v>
      </c>
      <c r="D942" s="6">
        <v>7982.7597660000001</v>
      </c>
      <c r="E942" s="6">
        <v>7990.3701170000004</v>
      </c>
      <c r="F942" s="6">
        <v>7990.3701170000004</v>
      </c>
      <c r="G942" s="4">
        <v>2297030000</v>
      </c>
      <c r="H942">
        <f t="shared" si="14"/>
        <v>-2.1378016229304055E-3</v>
      </c>
    </row>
    <row r="943" spans="1:8" x14ac:dyDescent="0.3">
      <c r="A943" s="5">
        <v>43370</v>
      </c>
      <c r="B943" s="6">
        <v>8021.2202150000003</v>
      </c>
      <c r="C943" s="6">
        <v>8071.5600590000004</v>
      </c>
      <c r="D943" s="6">
        <v>8017.9101559999999</v>
      </c>
      <c r="E943" s="6">
        <v>8041.9702150000003</v>
      </c>
      <c r="F943" s="6">
        <v>8041.9702150000003</v>
      </c>
      <c r="G943" s="4">
        <v>2053770000</v>
      </c>
      <c r="H943">
        <f t="shared" si="14"/>
        <v>6.437023554058772E-3</v>
      </c>
    </row>
    <row r="944" spans="1:8" x14ac:dyDescent="0.3">
      <c r="A944" s="5">
        <v>43371</v>
      </c>
      <c r="B944" s="6">
        <v>8024.5</v>
      </c>
      <c r="C944" s="6">
        <v>8065.0600590000004</v>
      </c>
      <c r="D944" s="6">
        <v>8015.8701170000004</v>
      </c>
      <c r="E944" s="6">
        <v>8046.3500979999999</v>
      </c>
      <c r="F944" s="6">
        <v>8046.3500979999999</v>
      </c>
      <c r="G944" s="4">
        <v>2323940000</v>
      </c>
      <c r="H944">
        <f t="shared" si="14"/>
        <v>5.4447984910712267E-4</v>
      </c>
    </row>
    <row r="945" spans="1:8" x14ac:dyDescent="0.3">
      <c r="A945" s="5">
        <v>43374</v>
      </c>
      <c r="B945" s="6">
        <v>8091.5</v>
      </c>
      <c r="C945" s="6">
        <v>8107.3798829999996</v>
      </c>
      <c r="D945" s="6">
        <v>8019.7700199999999</v>
      </c>
      <c r="E945" s="6">
        <v>8037.2998049999997</v>
      </c>
      <c r="F945" s="6">
        <v>8037.2998049999997</v>
      </c>
      <c r="G945" s="4">
        <v>2283230000</v>
      </c>
      <c r="H945">
        <f t="shared" si="14"/>
        <v>-1.1254030036452888E-3</v>
      </c>
    </row>
    <row r="946" spans="1:8" x14ac:dyDescent="0.3">
      <c r="A946" s="5">
        <v>43375</v>
      </c>
      <c r="B946" s="6">
        <v>8024.4702150000003</v>
      </c>
      <c r="C946" s="6">
        <v>8054.1499020000001</v>
      </c>
      <c r="D946" s="6">
        <v>7983.9902339999999</v>
      </c>
      <c r="E946" s="6">
        <v>7999.5498049999997</v>
      </c>
      <c r="F946" s="6">
        <v>7999.5498049999997</v>
      </c>
      <c r="G946" s="4">
        <v>2391370000</v>
      </c>
      <c r="H946">
        <f t="shared" si="14"/>
        <v>-4.7079159116352092E-3</v>
      </c>
    </row>
    <row r="947" spans="1:8" x14ac:dyDescent="0.3">
      <c r="A947" s="5">
        <v>43376</v>
      </c>
      <c r="B947" s="6">
        <v>8034.6499020000001</v>
      </c>
      <c r="C947" s="6">
        <v>8053.9301759999998</v>
      </c>
      <c r="D947" s="6">
        <v>8012.0297849999997</v>
      </c>
      <c r="E947" s="6">
        <v>8025.0898440000001</v>
      </c>
      <c r="F947" s="6">
        <v>8025.0898440000001</v>
      </c>
      <c r="G947" s="4">
        <v>3057330000</v>
      </c>
      <c r="H947">
        <f t="shared" si="14"/>
        <v>3.1875987460551988E-3</v>
      </c>
    </row>
    <row r="948" spans="1:8" x14ac:dyDescent="0.3">
      <c r="A948" s="5">
        <v>43377</v>
      </c>
      <c r="B948" s="6">
        <v>7993.330078</v>
      </c>
      <c r="C948" s="6">
        <v>7997.169922</v>
      </c>
      <c r="D948" s="6">
        <v>7833.1601559999999</v>
      </c>
      <c r="E948" s="6">
        <v>7879.5097660000001</v>
      </c>
      <c r="F948" s="6">
        <v>7879.5097660000001</v>
      </c>
      <c r="G948" s="4">
        <v>3284550000</v>
      </c>
      <c r="H948">
        <f t="shared" si="14"/>
        <v>-1.8307174969463338E-2</v>
      </c>
    </row>
    <row r="949" spans="1:8" x14ac:dyDescent="0.3">
      <c r="A949" s="5">
        <v>43378</v>
      </c>
      <c r="B949" s="6">
        <v>7874.7597660000001</v>
      </c>
      <c r="C949" s="6">
        <v>7902.669922</v>
      </c>
      <c r="D949" s="6">
        <v>7715.9702150000003</v>
      </c>
      <c r="E949" s="6">
        <v>7788.4501950000003</v>
      </c>
      <c r="F949" s="6">
        <v>7788.4501950000003</v>
      </c>
      <c r="G949" s="4">
        <v>2672900000</v>
      </c>
      <c r="H949">
        <f t="shared" si="14"/>
        <v>-1.1623797418358844E-2</v>
      </c>
    </row>
    <row r="950" spans="1:8" x14ac:dyDescent="0.3">
      <c r="A950" s="5">
        <v>43381</v>
      </c>
      <c r="B950" s="6">
        <v>7747.1000979999999</v>
      </c>
      <c r="C950" s="6">
        <v>7797.3198240000002</v>
      </c>
      <c r="D950" s="6">
        <v>7654.8398440000001</v>
      </c>
      <c r="E950" s="6">
        <v>7735.9501950000003</v>
      </c>
      <c r="F950" s="6">
        <v>7735.9501950000003</v>
      </c>
      <c r="G950" s="4">
        <v>2239640000</v>
      </c>
      <c r="H950">
        <f t="shared" si="14"/>
        <v>-6.7635720310339764E-3</v>
      </c>
    </row>
    <row r="951" spans="1:8" x14ac:dyDescent="0.3">
      <c r="A951" s="5">
        <v>43382</v>
      </c>
      <c r="B951" s="6">
        <v>7728.5097660000001</v>
      </c>
      <c r="C951" s="6">
        <v>7799.75</v>
      </c>
      <c r="D951" s="6">
        <v>7718.9501950000003</v>
      </c>
      <c r="E951" s="6">
        <v>7738.0200199999999</v>
      </c>
      <c r="F951" s="6">
        <v>7738.0200199999999</v>
      </c>
      <c r="G951" s="4">
        <v>2459040000</v>
      </c>
      <c r="H951">
        <f t="shared" si="14"/>
        <v>2.6752345824447755E-4</v>
      </c>
    </row>
    <row r="952" spans="1:8" x14ac:dyDescent="0.3">
      <c r="A952" s="5">
        <v>43383</v>
      </c>
      <c r="B952" s="6">
        <v>7694.080078</v>
      </c>
      <c r="C952" s="6">
        <v>7701.2001950000003</v>
      </c>
      <c r="D952" s="6">
        <v>7420.5600590000004</v>
      </c>
      <c r="E952" s="6">
        <v>7422.0498049999997</v>
      </c>
      <c r="F952" s="6">
        <v>7422.0498049999997</v>
      </c>
      <c r="G952" s="4">
        <v>3077330000</v>
      </c>
      <c r="H952">
        <f t="shared" si="14"/>
        <v>-4.1690570435523537E-2</v>
      </c>
    </row>
    <row r="953" spans="1:8" x14ac:dyDescent="0.3">
      <c r="A953" s="5">
        <v>43384</v>
      </c>
      <c r="B953" s="6">
        <v>7388.0698240000002</v>
      </c>
      <c r="C953" s="6">
        <v>7493.2099609999996</v>
      </c>
      <c r="D953" s="6">
        <v>7274.0400390000004</v>
      </c>
      <c r="E953" s="6">
        <v>7329.0600590000004</v>
      </c>
      <c r="F953" s="6">
        <v>7329.0600590000004</v>
      </c>
      <c r="G953" s="4">
        <v>3139290000</v>
      </c>
      <c r="H953">
        <f t="shared" si="14"/>
        <v>-1.2607997455194288E-2</v>
      </c>
    </row>
    <row r="954" spans="1:8" x14ac:dyDescent="0.3">
      <c r="A954" s="5">
        <v>43385</v>
      </c>
      <c r="B954" s="6">
        <v>7507.8398440000001</v>
      </c>
      <c r="C954" s="6">
        <v>7516.6899409999996</v>
      </c>
      <c r="D954" s="6">
        <v>7368.330078</v>
      </c>
      <c r="E954" s="6">
        <v>7496.8901370000003</v>
      </c>
      <c r="F954" s="6">
        <v>7496.8901370000003</v>
      </c>
      <c r="G954" s="4">
        <v>2650290000</v>
      </c>
      <c r="H954">
        <f t="shared" si="14"/>
        <v>2.2641010535746256E-2</v>
      </c>
    </row>
    <row r="955" spans="1:8" x14ac:dyDescent="0.3">
      <c r="A955" s="5">
        <v>43388</v>
      </c>
      <c r="B955" s="6">
        <v>7473.330078</v>
      </c>
      <c r="C955" s="6">
        <v>7500.9301759999998</v>
      </c>
      <c r="D955" s="6">
        <v>7400.0698240000002</v>
      </c>
      <c r="E955" s="6">
        <v>7430.7402339999999</v>
      </c>
      <c r="F955" s="6">
        <v>7430.7402339999999</v>
      </c>
      <c r="G955" s="4">
        <v>2148850000</v>
      </c>
      <c r="H955">
        <f t="shared" si="14"/>
        <v>-8.8628046592527064E-3</v>
      </c>
    </row>
    <row r="956" spans="1:8" x14ac:dyDescent="0.3">
      <c r="A956" s="5">
        <v>43389</v>
      </c>
      <c r="B956" s="6">
        <v>7501.7797849999997</v>
      </c>
      <c r="C956" s="6">
        <v>7658.1401370000003</v>
      </c>
      <c r="D956" s="6">
        <v>7493.4399409999996</v>
      </c>
      <c r="E956" s="6">
        <v>7645.4902339999999</v>
      </c>
      <c r="F956" s="6">
        <v>7645.4902339999999</v>
      </c>
      <c r="G956" s="4">
        <v>2623300000</v>
      </c>
      <c r="H956">
        <f t="shared" si="14"/>
        <v>2.8490480619969033E-2</v>
      </c>
    </row>
    <row r="957" spans="1:8" x14ac:dyDescent="0.3">
      <c r="A957" s="5">
        <v>43390</v>
      </c>
      <c r="B957" s="6">
        <v>7669.2597660000001</v>
      </c>
      <c r="C957" s="6">
        <v>7670.4902339999999</v>
      </c>
      <c r="D957" s="6">
        <v>7563.0898440000001</v>
      </c>
      <c r="E957" s="6">
        <v>7642.7001950000003</v>
      </c>
      <c r="F957" s="6">
        <v>7642.7001950000003</v>
      </c>
      <c r="G957" s="4">
        <v>2364720000</v>
      </c>
      <c r="H957">
        <f t="shared" si="14"/>
        <v>-3.6499271041014333E-4</v>
      </c>
    </row>
    <row r="958" spans="1:8" x14ac:dyDescent="0.3">
      <c r="A958" s="5">
        <v>43391</v>
      </c>
      <c r="B958" s="6">
        <v>7616.4702150000003</v>
      </c>
      <c r="C958" s="6">
        <v>7616.8598629999997</v>
      </c>
      <c r="D958" s="6">
        <v>7452.4599609999996</v>
      </c>
      <c r="E958" s="6">
        <v>7485.1401370000003</v>
      </c>
      <c r="F958" s="6">
        <v>7485.1401370000003</v>
      </c>
      <c r="G958" s="4">
        <v>2545950000</v>
      </c>
      <c r="H958">
        <f t="shared" si="14"/>
        <v>-2.0831229327732233E-2</v>
      </c>
    </row>
    <row r="959" spans="1:8" x14ac:dyDescent="0.3">
      <c r="A959" s="5">
        <v>43392</v>
      </c>
      <c r="B959" s="6">
        <v>7530.1601559999999</v>
      </c>
      <c r="C959" s="6">
        <v>7582.8901370000003</v>
      </c>
      <c r="D959" s="6">
        <v>7428.2998049999997</v>
      </c>
      <c r="E959" s="6">
        <v>7449.0297849999997</v>
      </c>
      <c r="F959" s="6">
        <v>7449.0297849999997</v>
      </c>
      <c r="G959" s="4">
        <v>2532220000</v>
      </c>
      <c r="H959">
        <f t="shared" si="14"/>
        <v>-4.8359463649827964E-3</v>
      </c>
    </row>
    <row r="960" spans="1:8" x14ac:dyDescent="0.3">
      <c r="A960" s="5">
        <v>43395</v>
      </c>
      <c r="B960" s="6">
        <v>7486.7402339999999</v>
      </c>
      <c r="C960" s="6">
        <v>7520.5400390000004</v>
      </c>
      <c r="D960" s="6">
        <v>7424.7402339999999</v>
      </c>
      <c r="E960" s="6">
        <v>7468.6298829999996</v>
      </c>
      <c r="F960" s="6">
        <v>7468.6298829999996</v>
      </c>
      <c r="G960" s="4">
        <v>2282400000</v>
      </c>
      <c r="H960">
        <f t="shared" si="14"/>
        <v>2.6277726821418907E-3</v>
      </c>
    </row>
    <row r="961" spans="1:8" x14ac:dyDescent="0.3">
      <c r="A961" s="5">
        <v>43396</v>
      </c>
      <c r="B961" s="6">
        <v>7328.5498049999997</v>
      </c>
      <c r="C961" s="6">
        <v>7472.580078</v>
      </c>
      <c r="D961" s="6">
        <v>7260.1298829999996</v>
      </c>
      <c r="E961" s="6">
        <v>7437.5400390000004</v>
      </c>
      <c r="F961" s="6">
        <v>7437.5400390000004</v>
      </c>
      <c r="G961" s="4">
        <v>2735820000</v>
      </c>
      <c r="H961">
        <f t="shared" si="14"/>
        <v>-4.171412139363089E-3</v>
      </c>
    </row>
    <row r="962" spans="1:8" x14ac:dyDescent="0.3">
      <c r="A962" s="5">
        <v>43397</v>
      </c>
      <c r="B962" s="6">
        <v>7423.2099609999996</v>
      </c>
      <c r="C962" s="6">
        <v>7435.6899409999996</v>
      </c>
      <c r="D962" s="6">
        <v>7099</v>
      </c>
      <c r="E962" s="6">
        <v>7108.3999020000001</v>
      </c>
      <c r="F962" s="6">
        <v>7108.3999020000001</v>
      </c>
      <c r="G962" s="4">
        <v>2935550000</v>
      </c>
      <c r="H962">
        <f t="shared" si="14"/>
        <v>-4.5262984709527818E-2</v>
      </c>
    </row>
    <row r="963" spans="1:8" x14ac:dyDescent="0.3">
      <c r="A963" s="5">
        <v>43398</v>
      </c>
      <c r="B963" s="6">
        <v>7197.4902339999999</v>
      </c>
      <c r="C963" s="6">
        <v>7364.8198240000002</v>
      </c>
      <c r="D963" s="6">
        <v>7178.5400390000004</v>
      </c>
      <c r="E963" s="6">
        <v>7318.3398440000001</v>
      </c>
      <c r="F963" s="6">
        <v>7318.3398440000001</v>
      </c>
      <c r="G963" s="4">
        <v>2741810000</v>
      </c>
      <c r="H963">
        <f t="shared" si="14"/>
        <v>2.9106335440383158E-2</v>
      </c>
    </row>
    <row r="964" spans="1:8" x14ac:dyDescent="0.3">
      <c r="A964" s="5">
        <v>43399</v>
      </c>
      <c r="B964" s="6">
        <v>7125.1801759999998</v>
      </c>
      <c r="C964" s="6">
        <v>7283.3198240000002</v>
      </c>
      <c r="D964" s="6">
        <v>7057</v>
      </c>
      <c r="E964" s="6">
        <v>7167.2099609999996</v>
      </c>
      <c r="F964" s="6">
        <v>7167.2099609999996</v>
      </c>
      <c r="G964" s="4">
        <v>2964780000</v>
      </c>
      <c r="H964">
        <f t="shared" ref="H964:H1027" si="15">LN(E964/E963)</f>
        <v>-2.0867052879255738E-2</v>
      </c>
    </row>
    <row r="965" spans="1:8" x14ac:dyDescent="0.3">
      <c r="A965" s="5">
        <v>43402</v>
      </c>
      <c r="B965" s="6">
        <v>7272.419922</v>
      </c>
      <c r="C965" s="6">
        <v>7295.6098629999997</v>
      </c>
      <c r="D965" s="6">
        <v>6922.830078</v>
      </c>
      <c r="E965" s="6">
        <v>7050.2900390000004</v>
      </c>
      <c r="F965" s="6">
        <v>7050.2900390000004</v>
      </c>
      <c r="G965" s="4">
        <v>2689550000</v>
      </c>
      <c r="H965">
        <f t="shared" si="15"/>
        <v>-1.6447695842188206E-2</v>
      </c>
    </row>
    <row r="966" spans="1:8" x14ac:dyDescent="0.3">
      <c r="A966" s="5">
        <v>43403</v>
      </c>
      <c r="B966" s="6">
        <v>7017.8701170000004</v>
      </c>
      <c r="C966" s="6">
        <v>7166.8398440000001</v>
      </c>
      <c r="D966" s="6">
        <v>7001.4799800000001</v>
      </c>
      <c r="E966" s="6">
        <v>7161.6499020000001</v>
      </c>
      <c r="F966" s="6">
        <v>7161.6499020000001</v>
      </c>
      <c r="G966" s="4">
        <v>2681310000</v>
      </c>
      <c r="H966">
        <f t="shared" si="15"/>
        <v>1.5671631405489415E-2</v>
      </c>
    </row>
    <row r="967" spans="1:8" x14ac:dyDescent="0.3">
      <c r="A967" s="5">
        <v>43404</v>
      </c>
      <c r="B967" s="6">
        <v>7276.6201170000004</v>
      </c>
      <c r="C967" s="6">
        <v>7368.4902339999999</v>
      </c>
      <c r="D967" s="6">
        <v>7270.6298829999996</v>
      </c>
      <c r="E967" s="6">
        <v>7305.8999020000001</v>
      </c>
      <c r="F967" s="6">
        <v>7305.8999020000001</v>
      </c>
      <c r="G967" s="4">
        <v>2899730000</v>
      </c>
      <c r="H967">
        <f t="shared" si="15"/>
        <v>1.9941839818249534E-2</v>
      </c>
    </row>
    <row r="968" spans="1:8" x14ac:dyDescent="0.3">
      <c r="A968" s="5">
        <v>43405</v>
      </c>
      <c r="B968" s="6">
        <v>7327.8198240000002</v>
      </c>
      <c r="C968" s="6">
        <v>7435.8798829999996</v>
      </c>
      <c r="D968" s="6">
        <v>7286.5</v>
      </c>
      <c r="E968" s="6">
        <v>7434.0600590000004</v>
      </c>
      <c r="F968" s="6">
        <v>7434.0600590000004</v>
      </c>
      <c r="G968" s="4">
        <v>2708880000</v>
      </c>
      <c r="H968">
        <f t="shared" si="15"/>
        <v>1.7389923318587915E-2</v>
      </c>
    </row>
    <row r="969" spans="1:8" x14ac:dyDescent="0.3">
      <c r="A969" s="5">
        <v>43406</v>
      </c>
      <c r="B969" s="6">
        <v>7424.0200199999999</v>
      </c>
      <c r="C969" s="6">
        <v>7466.5297849999997</v>
      </c>
      <c r="D969" s="6">
        <v>7298.6801759999998</v>
      </c>
      <c r="E969" s="6">
        <v>7356.9902339999999</v>
      </c>
      <c r="F969" s="6">
        <v>7356.9902339999999</v>
      </c>
      <c r="G969" s="4">
        <v>2889910000</v>
      </c>
      <c r="H969">
        <f t="shared" si="15"/>
        <v>-1.042123729795894E-2</v>
      </c>
    </row>
    <row r="970" spans="1:8" x14ac:dyDescent="0.3">
      <c r="A970" s="5">
        <v>43409</v>
      </c>
      <c r="B970" s="6">
        <v>7344.080078</v>
      </c>
      <c r="C970" s="6">
        <v>7349.2299800000001</v>
      </c>
      <c r="D970" s="6">
        <v>7255.8798829999996</v>
      </c>
      <c r="E970" s="6">
        <v>7328.8500979999999</v>
      </c>
      <c r="F970" s="6">
        <v>7328.8500979999999</v>
      </c>
      <c r="G970" s="4">
        <v>2166470000</v>
      </c>
      <c r="H970">
        <f t="shared" si="15"/>
        <v>-3.8322860392929637E-3</v>
      </c>
    </row>
    <row r="971" spans="1:8" x14ac:dyDescent="0.3">
      <c r="A971" s="5">
        <v>43410</v>
      </c>
      <c r="B971" s="6">
        <v>7326.0698240000002</v>
      </c>
      <c r="C971" s="6">
        <v>7400.6401370000003</v>
      </c>
      <c r="D971" s="6">
        <v>7320.8901370000003</v>
      </c>
      <c r="E971" s="6">
        <v>7375.9599609999996</v>
      </c>
      <c r="F971" s="6">
        <v>7375.9599609999996</v>
      </c>
      <c r="G971" s="4">
        <v>2285680000</v>
      </c>
      <c r="H971">
        <f t="shared" si="15"/>
        <v>6.4074304919463435E-3</v>
      </c>
    </row>
    <row r="972" spans="1:8" x14ac:dyDescent="0.3">
      <c r="A972" s="5">
        <v>43411</v>
      </c>
      <c r="B972" s="6">
        <v>7446.0898440000001</v>
      </c>
      <c r="C972" s="6">
        <v>7572.9301759999998</v>
      </c>
      <c r="D972" s="6">
        <v>7435.8701170000004</v>
      </c>
      <c r="E972" s="6">
        <v>7570.75</v>
      </c>
      <c r="F972" s="6">
        <v>7570.75</v>
      </c>
      <c r="G972" s="4">
        <v>2677530000</v>
      </c>
      <c r="H972">
        <f t="shared" si="15"/>
        <v>2.6066079880301678E-2</v>
      </c>
    </row>
    <row r="973" spans="1:8" x14ac:dyDescent="0.3">
      <c r="A973" s="5">
        <v>43412</v>
      </c>
      <c r="B973" s="6">
        <v>7544.169922</v>
      </c>
      <c r="C973" s="6">
        <v>7566.9301759999998</v>
      </c>
      <c r="D973" s="6">
        <v>7499.7099609999996</v>
      </c>
      <c r="E973" s="6">
        <v>7530.8798829999996</v>
      </c>
      <c r="F973" s="6">
        <v>7530.8798829999996</v>
      </c>
      <c r="G973" s="4">
        <v>2462430000</v>
      </c>
      <c r="H973">
        <f t="shared" si="15"/>
        <v>-5.2802525216110278E-3</v>
      </c>
    </row>
    <row r="974" spans="1:8" x14ac:dyDescent="0.3">
      <c r="A974" s="5">
        <v>43413</v>
      </c>
      <c r="B974" s="6">
        <v>7468.5097660000001</v>
      </c>
      <c r="C974" s="6">
        <v>7474.3398440000001</v>
      </c>
      <c r="D974" s="6">
        <v>7349.4799800000001</v>
      </c>
      <c r="E974" s="6">
        <v>7406.8999020000001</v>
      </c>
      <c r="F974" s="6">
        <v>7406.8999020000001</v>
      </c>
      <c r="G974" s="4">
        <v>2418490000</v>
      </c>
      <c r="H974">
        <f t="shared" si="15"/>
        <v>-1.6599900350770146E-2</v>
      </c>
    </row>
    <row r="975" spans="1:8" x14ac:dyDescent="0.3">
      <c r="A975" s="5">
        <v>43416</v>
      </c>
      <c r="B975" s="6">
        <v>7364.0498049999997</v>
      </c>
      <c r="C975" s="6">
        <v>7371.0898440000001</v>
      </c>
      <c r="D975" s="6">
        <v>7193.7700199999999</v>
      </c>
      <c r="E975" s="6">
        <v>7200.8701170000004</v>
      </c>
      <c r="F975" s="6">
        <v>7200.8701170000004</v>
      </c>
      <c r="G975" s="4">
        <v>2289070000</v>
      </c>
      <c r="H975">
        <f t="shared" si="15"/>
        <v>-2.8210116662948648E-2</v>
      </c>
    </row>
    <row r="976" spans="1:8" x14ac:dyDescent="0.3">
      <c r="A976" s="5">
        <v>43417</v>
      </c>
      <c r="B976" s="6">
        <v>7230.6899409999996</v>
      </c>
      <c r="C976" s="6">
        <v>7319.1201170000004</v>
      </c>
      <c r="D976" s="6">
        <v>7182.8598629999997</v>
      </c>
      <c r="E976" s="6">
        <v>7200.8701170000004</v>
      </c>
      <c r="F976" s="6">
        <v>7200.8701170000004</v>
      </c>
      <c r="G976" s="4">
        <v>2343940000</v>
      </c>
      <c r="H976">
        <f t="shared" si="15"/>
        <v>0</v>
      </c>
    </row>
    <row r="977" spans="1:8" x14ac:dyDescent="0.3">
      <c r="A977" s="5">
        <v>43418</v>
      </c>
      <c r="B977" s="6">
        <v>7265.3901370000003</v>
      </c>
      <c r="C977" s="6">
        <v>7285.5698240000002</v>
      </c>
      <c r="D977" s="6">
        <v>7101.169922</v>
      </c>
      <c r="E977" s="6">
        <v>7136.3901370000003</v>
      </c>
      <c r="F977" s="6">
        <v>7136.3901370000003</v>
      </c>
      <c r="G977" s="4">
        <v>2540220000</v>
      </c>
      <c r="H977">
        <f t="shared" si="15"/>
        <v>-8.9948028555549304E-3</v>
      </c>
    </row>
    <row r="978" spans="1:8" x14ac:dyDescent="0.3">
      <c r="A978" s="5">
        <v>43419</v>
      </c>
      <c r="B978" s="6">
        <v>7112.830078</v>
      </c>
      <c r="C978" s="6">
        <v>7274.2597660000001</v>
      </c>
      <c r="D978" s="6">
        <v>7072.3598629999997</v>
      </c>
      <c r="E978" s="6">
        <v>7259.0297849999997</v>
      </c>
      <c r="F978" s="6">
        <v>7259.0297849999997</v>
      </c>
      <c r="G978" s="4">
        <v>2508720000</v>
      </c>
      <c r="H978">
        <f t="shared" si="15"/>
        <v>1.703911602847652E-2</v>
      </c>
    </row>
    <row r="979" spans="1:8" x14ac:dyDescent="0.3">
      <c r="A979" s="5">
        <v>43420</v>
      </c>
      <c r="B979" s="6">
        <v>7193.6000979999999</v>
      </c>
      <c r="C979" s="6">
        <v>7274.8598629999997</v>
      </c>
      <c r="D979" s="6">
        <v>7171.7001950000003</v>
      </c>
      <c r="E979" s="6">
        <v>7247.8701170000004</v>
      </c>
      <c r="F979" s="6">
        <v>7247.8701170000004</v>
      </c>
      <c r="G979" s="4">
        <v>2438260000</v>
      </c>
      <c r="H979">
        <f t="shared" si="15"/>
        <v>-1.5385327363818565E-3</v>
      </c>
    </row>
    <row r="980" spans="1:8" x14ac:dyDescent="0.3">
      <c r="A980" s="5">
        <v>43423</v>
      </c>
      <c r="B980" s="6">
        <v>7217.2402339999999</v>
      </c>
      <c r="C980" s="6">
        <v>7224.1201170000004</v>
      </c>
      <c r="D980" s="6">
        <v>7011.3999020000001</v>
      </c>
      <c r="E980" s="6">
        <v>7028.4799800000001</v>
      </c>
      <c r="F980" s="6">
        <v>7028.4799800000001</v>
      </c>
      <c r="G980" s="4">
        <v>2354020000</v>
      </c>
      <c r="H980">
        <f t="shared" si="15"/>
        <v>-3.0737185357464215E-2</v>
      </c>
    </row>
    <row r="981" spans="1:8" x14ac:dyDescent="0.3">
      <c r="A981" s="5">
        <v>43424</v>
      </c>
      <c r="B981" s="6">
        <v>6867.4301759999998</v>
      </c>
      <c r="C981" s="6">
        <v>6994.75</v>
      </c>
      <c r="D981" s="6">
        <v>6830.7597660000001</v>
      </c>
      <c r="E981" s="6">
        <v>6908.8198240000002</v>
      </c>
      <c r="F981" s="6">
        <v>6908.8198240000002</v>
      </c>
      <c r="G981" s="4">
        <v>2664950000</v>
      </c>
      <c r="H981">
        <f t="shared" si="15"/>
        <v>-1.7171632664487381E-2</v>
      </c>
    </row>
    <row r="982" spans="1:8" x14ac:dyDescent="0.3">
      <c r="A982" s="5">
        <v>43425</v>
      </c>
      <c r="B982" s="6">
        <v>6985.5097660000001</v>
      </c>
      <c r="C982" s="6">
        <v>7029.9301759999998</v>
      </c>
      <c r="D982" s="6">
        <v>6951.6201170000004</v>
      </c>
      <c r="E982" s="6">
        <v>6972.25</v>
      </c>
      <c r="F982" s="6">
        <v>6972.25</v>
      </c>
      <c r="G982" s="4">
        <v>1858050000</v>
      </c>
      <c r="H982">
        <f t="shared" si="15"/>
        <v>9.1391540132738959E-3</v>
      </c>
    </row>
    <row r="983" spans="1:8" x14ac:dyDescent="0.3">
      <c r="A983" s="5">
        <v>43427</v>
      </c>
      <c r="B983" s="6">
        <v>6919.5200199999999</v>
      </c>
      <c r="C983" s="6">
        <v>6987.8901370000003</v>
      </c>
      <c r="D983" s="6">
        <v>6919.1601559999999</v>
      </c>
      <c r="E983" s="6">
        <v>6938.9799800000001</v>
      </c>
      <c r="F983" s="6">
        <v>6938.9799800000001</v>
      </c>
      <c r="G983" s="4">
        <v>958950000</v>
      </c>
      <c r="H983">
        <f t="shared" si="15"/>
        <v>-4.783197960184081E-3</v>
      </c>
    </row>
    <row r="984" spans="1:8" x14ac:dyDescent="0.3">
      <c r="A984" s="5">
        <v>43430</v>
      </c>
      <c r="B984" s="6">
        <v>7026.5</v>
      </c>
      <c r="C984" s="6">
        <v>7083.9301759999998</v>
      </c>
      <c r="D984" s="6">
        <v>7003.1201170000004</v>
      </c>
      <c r="E984" s="6">
        <v>7081.8500979999999</v>
      </c>
      <c r="F984" s="6">
        <v>7081.8500979999999</v>
      </c>
      <c r="G984" s="4">
        <v>2011180000</v>
      </c>
      <c r="H984">
        <f t="shared" si="15"/>
        <v>2.0380400074798386E-2</v>
      </c>
    </row>
    <row r="985" spans="1:8" x14ac:dyDescent="0.3">
      <c r="A985" s="5">
        <v>43431</v>
      </c>
      <c r="B985" s="6">
        <v>7041.2299800000001</v>
      </c>
      <c r="C985" s="6">
        <v>7105.1401370000003</v>
      </c>
      <c r="D985" s="6">
        <v>7014.3598629999997</v>
      </c>
      <c r="E985" s="6">
        <v>7082.7001950000003</v>
      </c>
      <c r="F985" s="6">
        <v>7082.7001950000003</v>
      </c>
      <c r="G985" s="4">
        <v>2067360000</v>
      </c>
      <c r="H985">
        <f t="shared" si="15"/>
        <v>1.2003162591637772E-4</v>
      </c>
    </row>
    <row r="986" spans="1:8" x14ac:dyDescent="0.3">
      <c r="A986" s="5">
        <v>43432</v>
      </c>
      <c r="B986" s="6">
        <v>7135.080078</v>
      </c>
      <c r="C986" s="6">
        <v>7292.7099609999996</v>
      </c>
      <c r="D986" s="6">
        <v>7090.9799800000001</v>
      </c>
      <c r="E986" s="6">
        <v>7291.5898440000001</v>
      </c>
      <c r="F986" s="6">
        <v>7291.5898440000001</v>
      </c>
      <c r="G986" s="4">
        <v>2390260000</v>
      </c>
      <c r="H986">
        <f t="shared" si="15"/>
        <v>2.9066389368054574E-2</v>
      </c>
    </row>
    <row r="987" spans="1:8" x14ac:dyDescent="0.3">
      <c r="A987" s="5">
        <v>43433</v>
      </c>
      <c r="B987" s="6">
        <v>7267.3701170000004</v>
      </c>
      <c r="C987" s="6">
        <v>7319.9599609999996</v>
      </c>
      <c r="D987" s="6">
        <v>7217.6899409999996</v>
      </c>
      <c r="E987" s="6">
        <v>7273.080078</v>
      </c>
      <c r="F987" s="6">
        <v>7273.080078</v>
      </c>
      <c r="G987" s="4">
        <v>1983460000</v>
      </c>
      <c r="H987">
        <f t="shared" si="15"/>
        <v>-2.5417364161638921E-3</v>
      </c>
    </row>
    <row r="988" spans="1:8" x14ac:dyDescent="0.3">
      <c r="A988" s="5">
        <v>43434</v>
      </c>
      <c r="B988" s="6">
        <v>7279.2998049999997</v>
      </c>
      <c r="C988" s="6">
        <v>7332.7900390000004</v>
      </c>
      <c r="D988" s="6">
        <v>7255.6801759999998</v>
      </c>
      <c r="E988" s="6">
        <v>7330.5400390000004</v>
      </c>
      <c r="F988" s="6">
        <v>7330.5400390000004</v>
      </c>
      <c r="G988" s="4">
        <v>2542820000</v>
      </c>
      <c r="H988">
        <f t="shared" si="15"/>
        <v>7.869316931306292E-3</v>
      </c>
    </row>
    <row r="989" spans="1:8" x14ac:dyDescent="0.3">
      <c r="A989" s="5">
        <v>43437</v>
      </c>
      <c r="B989" s="6">
        <v>7486.1298829999996</v>
      </c>
      <c r="C989" s="6">
        <v>7486.5097660000001</v>
      </c>
      <c r="D989" s="6">
        <v>7392.2202150000003</v>
      </c>
      <c r="E989" s="6">
        <v>7441.5097660000001</v>
      </c>
      <c r="F989" s="6">
        <v>7441.5097660000001</v>
      </c>
      <c r="G989" s="4">
        <v>2621020000</v>
      </c>
      <c r="H989">
        <f t="shared" si="15"/>
        <v>1.5024565440822884E-2</v>
      </c>
    </row>
    <row r="990" spans="1:8" x14ac:dyDescent="0.3">
      <c r="A990" s="5">
        <v>43438</v>
      </c>
      <c r="B990" s="6">
        <v>7407.9501950000003</v>
      </c>
      <c r="C990" s="6">
        <v>7421.1098629999997</v>
      </c>
      <c r="D990" s="6">
        <v>7150.1098629999997</v>
      </c>
      <c r="E990" s="6">
        <v>7158.4301759999998</v>
      </c>
      <c r="F990" s="6">
        <v>7158.4301759999998</v>
      </c>
      <c r="G990" s="4">
        <v>2635810000</v>
      </c>
      <c r="H990">
        <f t="shared" si="15"/>
        <v>-3.8783046024101181E-2</v>
      </c>
    </row>
    <row r="991" spans="1:8" x14ac:dyDescent="0.3">
      <c r="A991" s="5">
        <v>43440</v>
      </c>
      <c r="B991" s="6">
        <v>7017.0498049999997</v>
      </c>
      <c r="C991" s="6">
        <v>7189.5200199999999</v>
      </c>
      <c r="D991" s="6">
        <v>6984.3398440000001</v>
      </c>
      <c r="E991" s="6">
        <v>7188.2597660000001</v>
      </c>
      <c r="F991" s="6">
        <v>7188.2597660000001</v>
      </c>
      <c r="G991" s="4">
        <v>2833870000</v>
      </c>
      <c r="H991">
        <f t="shared" si="15"/>
        <v>4.158399338903768E-3</v>
      </c>
    </row>
    <row r="992" spans="1:8" x14ac:dyDescent="0.3">
      <c r="A992" s="5">
        <v>43441</v>
      </c>
      <c r="B992" s="6">
        <v>7163.4902339999999</v>
      </c>
      <c r="C992" s="6">
        <v>7205.3701170000004</v>
      </c>
      <c r="D992" s="6">
        <v>6945.2700199999999</v>
      </c>
      <c r="E992" s="6">
        <v>6969.25</v>
      </c>
      <c r="F992" s="6">
        <v>6969.25</v>
      </c>
      <c r="G992" s="4">
        <v>2475160000</v>
      </c>
      <c r="H992">
        <f t="shared" si="15"/>
        <v>-3.0941492145347416E-2</v>
      </c>
    </row>
    <row r="993" spans="1:8" x14ac:dyDescent="0.3">
      <c r="A993" s="5">
        <v>43444</v>
      </c>
      <c r="B993" s="6">
        <v>6959.6298829999996</v>
      </c>
      <c r="C993" s="6">
        <v>7047.6201170000004</v>
      </c>
      <c r="D993" s="6">
        <v>6878.9902339999999</v>
      </c>
      <c r="E993" s="6">
        <v>7020.5200199999999</v>
      </c>
      <c r="F993" s="6">
        <v>7020.5200199999999</v>
      </c>
      <c r="G993" s="4">
        <v>2367560000</v>
      </c>
      <c r="H993">
        <f t="shared" si="15"/>
        <v>7.3296772517485618E-3</v>
      </c>
    </row>
    <row r="994" spans="1:8" x14ac:dyDescent="0.3">
      <c r="A994" s="5">
        <v>43445</v>
      </c>
      <c r="B994" s="6">
        <v>7121.6601559999999</v>
      </c>
      <c r="C994" s="6">
        <v>7129.830078</v>
      </c>
      <c r="D994" s="6">
        <v>6983.0097660000001</v>
      </c>
      <c r="E994" s="6">
        <v>7031.830078</v>
      </c>
      <c r="F994" s="6">
        <v>7031.830078</v>
      </c>
      <c r="G994" s="4">
        <v>2246060000</v>
      </c>
      <c r="H994">
        <f t="shared" si="15"/>
        <v>1.6097037667424301E-3</v>
      </c>
    </row>
    <row r="995" spans="1:8" x14ac:dyDescent="0.3">
      <c r="A995" s="5">
        <v>43446</v>
      </c>
      <c r="B995" s="6">
        <v>7127</v>
      </c>
      <c r="C995" s="6">
        <v>7197.2900390000004</v>
      </c>
      <c r="D995" s="6">
        <v>7096.5600590000004</v>
      </c>
      <c r="E995" s="6">
        <v>7098.3100590000004</v>
      </c>
      <c r="F995" s="6">
        <v>7098.3100590000004</v>
      </c>
      <c r="G995" s="4">
        <v>2412300000</v>
      </c>
      <c r="H995">
        <f t="shared" si="15"/>
        <v>9.409739872913065E-3</v>
      </c>
    </row>
    <row r="996" spans="1:8" x14ac:dyDescent="0.3">
      <c r="A996" s="5">
        <v>43447</v>
      </c>
      <c r="B996" s="6">
        <v>7135.2797849999997</v>
      </c>
      <c r="C996" s="6">
        <v>7154.6401370000003</v>
      </c>
      <c r="D996" s="6">
        <v>7034.8198240000002</v>
      </c>
      <c r="E996" s="6">
        <v>7070.330078</v>
      </c>
      <c r="F996" s="6">
        <v>7070.330078</v>
      </c>
      <c r="G996" s="4">
        <v>2143520000</v>
      </c>
      <c r="H996">
        <f t="shared" si="15"/>
        <v>-3.949569909508276E-3</v>
      </c>
    </row>
    <row r="997" spans="1:8" x14ac:dyDescent="0.3">
      <c r="A997" s="5">
        <v>43448</v>
      </c>
      <c r="B997" s="6">
        <v>6986.3701170000004</v>
      </c>
      <c r="C997" s="6">
        <v>7027.169922</v>
      </c>
      <c r="D997" s="6">
        <v>6898.9902339999999</v>
      </c>
      <c r="E997" s="6">
        <v>6910.6601559999999</v>
      </c>
      <c r="F997" s="6">
        <v>6910.6601559999999</v>
      </c>
      <c r="G997" s="4">
        <v>2200510000</v>
      </c>
      <c r="H997">
        <f t="shared" si="15"/>
        <v>-2.2841996406941779E-2</v>
      </c>
    </row>
    <row r="998" spans="1:8" x14ac:dyDescent="0.3">
      <c r="A998" s="5">
        <v>43451</v>
      </c>
      <c r="B998" s="6">
        <v>6886.4599609999996</v>
      </c>
      <c r="C998" s="6">
        <v>6931.8100590000004</v>
      </c>
      <c r="D998" s="6">
        <v>6710.0097660000001</v>
      </c>
      <c r="E998" s="6">
        <v>6753.7299800000001</v>
      </c>
      <c r="F998" s="6">
        <v>6753.7299800000001</v>
      </c>
      <c r="G998" s="4">
        <v>2665240000</v>
      </c>
      <c r="H998">
        <f t="shared" si="15"/>
        <v>-2.297022764780161E-2</v>
      </c>
    </row>
    <row r="999" spans="1:8" x14ac:dyDescent="0.3">
      <c r="A999" s="5">
        <v>43452</v>
      </c>
      <c r="B999" s="6">
        <v>6809.8198240000002</v>
      </c>
      <c r="C999" s="6">
        <v>6847.2700199999999</v>
      </c>
      <c r="D999" s="6">
        <v>6733.7099609999996</v>
      </c>
      <c r="E999" s="6">
        <v>6783.9101559999999</v>
      </c>
      <c r="F999" s="6">
        <v>6783.9101559999999</v>
      </c>
      <c r="G999" s="4">
        <v>2595400000</v>
      </c>
      <c r="H999">
        <f t="shared" si="15"/>
        <v>4.4587129951140485E-3</v>
      </c>
    </row>
    <row r="1000" spans="1:8" x14ac:dyDescent="0.3">
      <c r="A1000" s="5">
        <v>43453</v>
      </c>
      <c r="B1000" s="6">
        <v>6777.5898440000001</v>
      </c>
      <c r="C1000" s="6">
        <v>6868.8598629999997</v>
      </c>
      <c r="D1000" s="6">
        <v>6586.5</v>
      </c>
      <c r="E1000" s="6">
        <v>6636.830078</v>
      </c>
      <c r="F1000" s="6">
        <v>6636.830078</v>
      </c>
      <c r="G1000" s="4">
        <v>2899950000</v>
      </c>
      <c r="H1000">
        <f t="shared" si="15"/>
        <v>-2.1919203281632844E-2</v>
      </c>
    </row>
    <row r="1001" spans="1:8" x14ac:dyDescent="0.3">
      <c r="A1001" s="5">
        <v>43454</v>
      </c>
      <c r="B1001" s="6">
        <v>6607.7597660000001</v>
      </c>
      <c r="C1001" s="6">
        <v>6666.2001950000003</v>
      </c>
      <c r="D1001" s="6">
        <v>6447.9101559999999</v>
      </c>
      <c r="E1001" s="6">
        <v>6528.4101559999999</v>
      </c>
      <c r="F1001" s="6">
        <v>6528.4101559999999</v>
      </c>
      <c r="G1001" s="4">
        <v>3258090000</v>
      </c>
      <c r="H1001">
        <f t="shared" si="15"/>
        <v>-1.6471005648447046E-2</v>
      </c>
    </row>
    <row r="1002" spans="1:8" x14ac:dyDescent="0.3">
      <c r="A1002" s="5">
        <v>43455</v>
      </c>
      <c r="B1002" s="6">
        <v>6573.4902339999999</v>
      </c>
      <c r="C1002" s="6">
        <v>6586.6801759999998</v>
      </c>
      <c r="D1002" s="6">
        <v>6304.6298829999996</v>
      </c>
      <c r="E1002" s="6">
        <v>6332.9902339999999</v>
      </c>
      <c r="F1002" s="6">
        <v>6332.9902339999999</v>
      </c>
      <c r="G1002" s="4">
        <v>4534120000</v>
      </c>
      <c r="H1002">
        <f t="shared" si="15"/>
        <v>-3.0390930505732966E-2</v>
      </c>
    </row>
    <row r="1003" spans="1:8" x14ac:dyDescent="0.3">
      <c r="A1003" s="5">
        <v>43458</v>
      </c>
      <c r="B1003" s="6">
        <v>6278.4902339999999</v>
      </c>
      <c r="C1003" s="6">
        <v>6355.1801759999998</v>
      </c>
      <c r="D1003" s="6">
        <v>6190.169922</v>
      </c>
      <c r="E1003" s="6">
        <v>6192.919922</v>
      </c>
      <c r="F1003" s="6">
        <v>6192.919922</v>
      </c>
      <c r="G1003" s="4">
        <v>1647270000</v>
      </c>
      <c r="H1003">
        <f t="shared" si="15"/>
        <v>-2.2365823984912894E-2</v>
      </c>
    </row>
    <row r="1004" spans="1:8" x14ac:dyDescent="0.3">
      <c r="A1004" s="5">
        <v>43460</v>
      </c>
      <c r="B1004" s="6">
        <v>6257.8598629999997</v>
      </c>
      <c r="C1004" s="6">
        <v>6555.5297849999997</v>
      </c>
      <c r="D1004" s="6">
        <v>6214.3398440000001</v>
      </c>
      <c r="E1004" s="6">
        <v>6554.3598629999997</v>
      </c>
      <c r="F1004" s="6">
        <v>6554.3598629999997</v>
      </c>
      <c r="G1004" s="4">
        <v>2558940000</v>
      </c>
      <c r="H1004">
        <f t="shared" si="15"/>
        <v>5.6723764687041593E-2</v>
      </c>
    </row>
    <row r="1005" spans="1:8" x14ac:dyDescent="0.3">
      <c r="A1005" s="5">
        <v>43461</v>
      </c>
      <c r="B1005" s="6">
        <v>6457.1899409999996</v>
      </c>
      <c r="C1005" s="6">
        <v>6583.0097660000001</v>
      </c>
      <c r="D1005" s="6">
        <v>6336.9702150000003</v>
      </c>
      <c r="E1005" s="6">
        <v>6579.4902339999999</v>
      </c>
      <c r="F1005" s="6">
        <v>6579.4902339999999</v>
      </c>
      <c r="G1005" s="4">
        <v>2415870000</v>
      </c>
      <c r="H1005">
        <f t="shared" si="15"/>
        <v>3.8268141455676361E-3</v>
      </c>
    </row>
    <row r="1006" spans="1:8" x14ac:dyDescent="0.3">
      <c r="A1006" s="5">
        <v>43462</v>
      </c>
      <c r="B1006" s="6">
        <v>6616.7900390000004</v>
      </c>
      <c r="C1006" s="6">
        <v>6684.1801759999998</v>
      </c>
      <c r="D1006" s="6">
        <v>6529.2202150000003</v>
      </c>
      <c r="E1006" s="6">
        <v>6584.5200199999999</v>
      </c>
      <c r="F1006" s="6">
        <v>6584.5200199999999</v>
      </c>
      <c r="G1006" s="4">
        <v>2199090000</v>
      </c>
      <c r="H1006">
        <f t="shared" si="15"/>
        <v>7.6417233771722585E-4</v>
      </c>
    </row>
    <row r="1007" spans="1:8" x14ac:dyDescent="0.3">
      <c r="A1007" s="5">
        <v>43465</v>
      </c>
      <c r="B1007" s="6">
        <v>6649.5200199999999</v>
      </c>
      <c r="C1007" s="6">
        <v>6659.9599609999996</v>
      </c>
      <c r="D1007" s="6">
        <v>6570.0600590000004</v>
      </c>
      <c r="E1007" s="6">
        <v>6635.2797849999997</v>
      </c>
      <c r="F1007" s="6">
        <v>6635.2797849999997</v>
      </c>
      <c r="G1007" s="4">
        <v>2098560000</v>
      </c>
      <c r="H1007">
        <f t="shared" si="15"/>
        <v>7.6793923059972234E-3</v>
      </c>
    </row>
    <row r="1008" spans="1:8" x14ac:dyDescent="0.3">
      <c r="A1008" s="5">
        <v>43467</v>
      </c>
      <c r="B1008" s="6">
        <v>6506.9101559999999</v>
      </c>
      <c r="C1008" s="6">
        <v>6693.7099609999996</v>
      </c>
      <c r="D1008" s="6">
        <v>6506.8798829999996</v>
      </c>
      <c r="E1008" s="6">
        <v>6665.9399409999996</v>
      </c>
      <c r="F1008" s="6">
        <v>6665.9399409999996</v>
      </c>
      <c r="G1008" s="4">
        <v>2261800000</v>
      </c>
      <c r="H1008">
        <f t="shared" si="15"/>
        <v>4.6101351506321105E-3</v>
      </c>
    </row>
    <row r="1009" spans="1:8" x14ac:dyDescent="0.3">
      <c r="A1009" s="5">
        <v>43468</v>
      </c>
      <c r="B1009" s="6">
        <v>6584.7700199999999</v>
      </c>
      <c r="C1009" s="6">
        <v>6600.2099609999996</v>
      </c>
      <c r="D1009" s="6">
        <v>6457.1298829999996</v>
      </c>
      <c r="E1009" s="6">
        <v>6463.5</v>
      </c>
      <c r="F1009" s="6">
        <v>6463.5</v>
      </c>
      <c r="G1009" s="4">
        <v>2607290000</v>
      </c>
      <c r="H1009">
        <f t="shared" si="15"/>
        <v>-3.0840003352119439E-2</v>
      </c>
    </row>
    <row r="1010" spans="1:8" x14ac:dyDescent="0.3">
      <c r="A1010" s="5">
        <v>43469</v>
      </c>
      <c r="B1010" s="6">
        <v>6567.1401370000003</v>
      </c>
      <c r="C1010" s="6">
        <v>6760.6899409999996</v>
      </c>
      <c r="D1010" s="6">
        <v>6554.2402339999999</v>
      </c>
      <c r="E1010" s="6">
        <v>6738.8598629999997</v>
      </c>
      <c r="F1010" s="6">
        <v>6738.8598629999997</v>
      </c>
      <c r="G1010" s="4">
        <v>2579550000</v>
      </c>
      <c r="H1010">
        <f t="shared" si="15"/>
        <v>4.1719784080934012E-2</v>
      </c>
    </row>
    <row r="1011" spans="1:8" x14ac:dyDescent="0.3">
      <c r="A1011" s="5">
        <v>43472</v>
      </c>
      <c r="B1011" s="6">
        <v>6757.5297849999997</v>
      </c>
      <c r="C1011" s="6">
        <v>6855.6000979999999</v>
      </c>
      <c r="D1011" s="6">
        <v>6741.3999020000001</v>
      </c>
      <c r="E1011" s="6">
        <v>6823.4702150000003</v>
      </c>
      <c r="F1011" s="6">
        <v>6823.4702150000003</v>
      </c>
      <c r="G1011" s="4">
        <v>2507550000</v>
      </c>
      <c r="H1011">
        <f t="shared" si="15"/>
        <v>1.2477420801786689E-2</v>
      </c>
    </row>
    <row r="1012" spans="1:8" x14ac:dyDescent="0.3">
      <c r="A1012" s="5">
        <v>43473</v>
      </c>
      <c r="B1012" s="6">
        <v>6893.4399409999996</v>
      </c>
      <c r="C1012" s="6">
        <v>6909.580078</v>
      </c>
      <c r="D1012" s="6">
        <v>6795.8598629999997</v>
      </c>
      <c r="E1012" s="6">
        <v>6897</v>
      </c>
      <c r="F1012" s="6">
        <v>6897</v>
      </c>
      <c r="G1012" s="4">
        <v>2380290000</v>
      </c>
      <c r="H1012">
        <f t="shared" si="15"/>
        <v>1.071836282456792E-2</v>
      </c>
    </row>
    <row r="1013" spans="1:8" x14ac:dyDescent="0.3">
      <c r="A1013" s="5">
        <v>43474</v>
      </c>
      <c r="B1013" s="6">
        <v>6923.0600590000004</v>
      </c>
      <c r="C1013" s="6">
        <v>6985.2202150000003</v>
      </c>
      <c r="D1013" s="6">
        <v>6899.5600590000004</v>
      </c>
      <c r="E1013" s="6">
        <v>6957.080078</v>
      </c>
      <c r="F1013" s="6">
        <v>6957.080078</v>
      </c>
      <c r="G1013" s="4">
        <v>2422590000</v>
      </c>
      <c r="H1013">
        <f t="shared" si="15"/>
        <v>8.6733228472643479E-3</v>
      </c>
    </row>
    <row r="1014" spans="1:8" x14ac:dyDescent="0.3">
      <c r="A1014" s="5">
        <v>43475</v>
      </c>
      <c r="B1014" s="6">
        <v>6908.6499020000001</v>
      </c>
      <c r="C1014" s="6">
        <v>6991.3701170000004</v>
      </c>
      <c r="D1014" s="6">
        <v>6877.080078</v>
      </c>
      <c r="E1014" s="6">
        <v>6986.0698240000002</v>
      </c>
      <c r="F1014" s="6">
        <v>6986.0698240000002</v>
      </c>
      <c r="G1014" s="4">
        <v>2179080000</v>
      </c>
      <c r="H1014">
        <f t="shared" si="15"/>
        <v>4.1582838851102026E-3</v>
      </c>
    </row>
    <row r="1015" spans="1:8" x14ac:dyDescent="0.3">
      <c r="A1015" s="5">
        <v>43476</v>
      </c>
      <c r="B1015" s="6">
        <v>6947.4599609999996</v>
      </c>
      <c r="C1015" s="6">
        <v>6975.6499020000001</v>
      </c>
      <c r="D1015" s="6">
        <v>6933.6000979999999</v>
      </c>
      <c r="E1015" s="6">
        <v>6971.4799800000001</v>
      </c>
      <c r="F1015" s="6">
        <v>6971.4799800000001</v>
      </c>
      <c r="G1015" s="4">
        <v>2066500000</v>
      </c>
      <c r="H1015">
        <f t="shared" si="15"/>
        <v>-2.0906032246017074E-3</v>
      </c>
    </row>
    <row r="1016" spans="1:8" x14ac:dyDescent="0.3">
      <c r="A1016" s="5">
        <v>43479</v>
      </c>
      <c r="B1016" s="6">
        <v>6908.0297849999997</v>
      </c>
      <c r="C1016" s="6">
        <v>6936.2202150000003</v>
      </c>
      <c r="D1016" s="6">
        <v>6887.4799800000001</v>
      </c>
      <c r="E1016" s="6">
        <v>6905.919922</v>
      </c>
      <c r="F1016" s="6">
        <v>6905.919922</v>
      </c>
      <c r="G1016" s="4">
        <v>1942210000</v>
      </c>
      <c r="H1016">
        <f t="shared" si="15"/>
        <v>-9.4485344806225537E-3</v>
      </c>
    </row>
    <row r="1017" spans="1:8" x14ac:dyDescent="0.3">
      <c r="A1017" s="5">
        <v>43480</v>
      </c>
      <c r="B1017" s="6">
        <v>6931.3901370000003</v>
      </c>
      <c r="C1017" s="6">
        <v>7025.8500979999999</v>
      </c>
      <c r="D1017" s="6">
        <v>6928.1201170000004</v>
      </c>
      <c r="E1017" s="6">
        <v>7023.830078</v>
      </c>
      <c r="F1017" s="6">
        <v>7023.830078</v>
      </c>
      <c r="G1017" s="4">
        <v>2038090000</v>
      </c>
      <c r="H1017">
        <f t="shared" si="15"/>
        <v>1.6929660935187378E-2</v>
      </c>
    </row>
    <row r="1018" spans="1:8" x14ac:dyDescent="0.3">
      <c r="A1018" s="5">
        <v>43481</v>
      </c>
      <c r="B1018" s="6">
        <v>7033.75</v>
      </c>
      <c r="C1018" s="6">
        <v>7079.6298829999996</v>
      </c>
      <c r="D1018" s="6">
        <v>7028.1201170000004</v>
      </c>
      <c r="E1018" s="6">
        <v>7034.6899409999996</v>
      </c>
      <c r="F1018" s="6">
        <v>7034.6899409999996</v>
      </c>
      <c r="G1018" s="4">
        <v>2149580000</v>
      </c>
      <c r="H1018">
        <f t="shared" si="15"/>
        <v>1.5449514095960827E-3</v>
      </c>
    </row>
    <row r="1019" spans="1:8" x14ac:dyDescent="0.3">
      <c r="A1019" s="5">
        <v>43482</v>
      </c>
      <c r="B1019" s="6">
        <v>7010.1298829999996</v>
      </c>
      <c r="C1019" s="6">
        <v>7113.9501950000003</v>
      </c>
      <c r="D1019" s="6">
        <v>7003.6201170000004</v>
      </c>
      <c r="E1019" s="6">
        <v>7084.4599609999996</v>
      </c>
      <c r="F1019" s="6">
        <v>7084.4599609999996</v>
      </c>
      <c r="G1019" s="4">
        <v>2128840000</v>
      </c>
      <c r="H1019">
        <f t="shared" si="15"/>
        <v>7.0500315512375981E-3</v>
      </c>
    </row>
    <row r="1020" spans="1:8" x14ac:dyDescent="0.3">
      <c r="A1020" s="5">
        <v>43483</v>
      </c>
      <c r="B1020" s="6">
        <v>7134.1000979999999</v>
      </c>
      <c r="C1020" s="6">
        <v>7185.3798829999996</v>
      </c>
      <c r="D1020" s="6">
        <v>7096.6201170000004</v>
      </c>
      <c r="E1020" s="6">
        <v>7157.2299800000001</v>
      </c>
      <c r="F1020" s="6">
        <v>7157.2299800000001</v>
      </c>
      <c r="G1020" s="4">
        <v>2451240000</v>
      </c>
      <c r="H1020">
        <f t="shared" si="15"/>
        <v>1.0219384443383413E-2</v>
      </c>
    </row>
    <row r="1021" spans="1:8" x14ac:dyDescent="0.3">
      <c r="A1021" s="5">
        <v>43487</v>
      </c>
      <c r="B1021" s="6">
        <v>7109.5698240000002</v>
      </c>
      <c r="C1021" s="6">
        <v>7110.1601559999999</v>
      </c>
      <c r="D1021" s="6">
        <v>6979.8100590000004</v>
      </c>
      <c r="E1021" s="6">
        <v>7020.3598629999997</v>
      </c>
      <c r="F1021" s="6">
        <v>7020.3598629999997</v>
      </c>
      <c r="G1021" s="4">
        <v>2380950000</v>
      </c>
      <c r="H1021">
        <f t="shared" si="15"/>
        <v>-1.9308552556255291E-2</v>
      </c>
    </row>
    <row r="1022" spans="1:8" x14ac:dyDescent="0.3">
      <c r="A1022" s="5">
        <v>43488</v>
      </c>
      <c r="B1022" s="6">
        <v>7061.6499020000001</v>
      </c>
      <c r="C1022" s="6">
        <v>7084.8500979999999</v>
      </c>
      <c r="D1022" s="6">
        <v>6953.2299800000001</v>
      </c>
      <c r="E1022" s="6">
        <v>7025.7700199999999</v>
      </c>
      <c r="F1022" s="6">
        <v>7025.7700199999999</v>
      </c>
      <c r="G1022" s="4">
        <v>2274420000</v>
      </c>
      <c r="H1022">
        <f t="shared" si="15"/>
        <v>7.7034134136722107E-4</v>
      </c>
    </row>
    <row r="1023" spans="1:8" x14ac:dyDescent="0.3">
      <c r="A1023" s="5">
        <v>43489</v>
      </c>
      <c r="B1023" s="6">
        <v>7042.25</v>
      </c>
      <c r="C1023" s="6">
        <v>7078.9599609999996</v>
      </c>
      <c r="D1023" s="6">
        <v>7029.9501950000003</v>
      </c>
      <c r="E1023" s="6">
        <v>7073.4599609999996</v>
      </c>
      <c r="F1023" s="6">
        <v>7073.4599609999996</v>
      </c>
      <c r="G1023" s="4">
        <v>2400290000</v>
      </c>
      <c r="H1023">
        <f t="shared" si="15"/>
        <v>6.7649258773066255E-3</v>
      </c>
    </row>
    <row r="1024" spans="1:8" x14ac:dyDescent="0.3">
      <c r="A1024" s="5">
        <v>43490</v>
      </c>
      <c r="B1024" s="6">
        <v>7128.1801759999998</v>
      </c>
      <c r="C1024" s="6">
        <v>7174.5600590000004</v>
      </c>
      <c r="D1024" s="6">
        <v>7111.0898440000001</v>
      </c>
      <c r="E1024" s="6">
        <v>7164.8598629999997</v>
      </c>
      <c r="F1024" s="6">
        <v>7164.8598629999997</v>
      </c>
      <c r="G1024" s="4">
        <v>2440840000</v>
      </c>
      <c r="H1024">
        <f t="shared" si="15"/>
        <v>1.2838756062237439E-2</v>
      </c>
    </row>
    <row r="1025" spans="1:8" x14ac:dyDescent="0.3">
      <c r="A1025" s="5">
        <v>43493</v>
      </c>
      <c r="B1025" s="6">
        <v>7075.0097660000001</v>
      </c>
      <c r="C1025" s="6">
        <v>7086.2998049999997</v>
      </c>
      <c r="D1025" s="6">
        <v>7034.25</v>
      </c>
      <c r="E1025" s="6">
        <v>7085.6801759999998</v>
      </c>
      <c r="F1025" s="6">
        <v>7085.6801759999998</v>
      </c>
      <c r="G1025" s="4">
        <v>2435480000</v>
      </c>
      <c r="H1025">
        <f t="shared" si="15"/>
        <v>-1.1112631747350518E-2</v>
      </c>
    </row>
    <row r="1026" spans="1:8" x14ac:dyDescent="0.3">
      <c r="A1026" s="5">
        <v>43494</v>
      </c>
      <c r="B1026" s="6">
        <v>7087.4902339999999</v>
      </c>
      <c r="C1026" s="6">
        <v>7092.2900390000004</v>
      </c>
      <c r="D1026" s="6">
        <v>7011.4702150000003</v>
      </c>
      <c r="E1026" s="6">
        <v>7028.2900390000004</v>
      </c>
      <c r="F1026" s="6">
        <v>7028.2900390000004</v>
      </c>
      <c r="G1026" s="4">
        <v>2089690000</v>
      </c>
      <c r="H1026">
        <f t="shared" si="15"/>
        <v>-8.1324322531169009E-3</v>
      </c>
    </row>
    <row r="1027" spans="1:8" x14ac:dyDescent="0.3">
      <c r="A1027" s="5">
        <v>43495</v>
      </c>
      <c r="B1027" s="6">
        <v>7094.7900390000004</v>
      </c>
      <c r="C1027" s="6">
        <v>7201.3100590000004</v>
      </c>
      <c r="D1027" s="6">
        <v>7065.5698240000002</v>
      </c>
      <c r="E1027" s="6">
        <v>7183.080078</v>
      </c>
      <c r="F1027" s="6">
        <v>7183.080078</v>
      </c>
      <c r="G1027" s="4">
        <v>2544050000</v>
      </c>
      <c r="H1027">
        <f t="shared" si="15"/>
        <v>2.1784832757366895E-2</v>
      </c>
    </row>
    <row r="1028" spans="1:8" x14ac:dyDescent="0.3">
      <c r="A1028" s="5">
        <v>43496</v>
      </c>
      <c r="B1028" s="6">
        <v>7208.169922</v>
      </c>
      <c r="C1028" s="6">
        <v>7303.1201170000004</v>
      </c>
      <c r="D1028" s="6">
        <v>7205.9501950000003</v>
      </c>
      <c r="E1028" s="6">
        <v>7281.7402339999999</v>
      </c>
      <c r="F1028" s="6">
        <v>7281.7402339999999</v>
      </c>
      <c r="G1028" s="4">
        <v>2918710000</v>
      </c>
      <c r="H1028">
        <f t="shared" ref="H1028:H1091" si="16">LN(E1028/E1027)</f>
        <v>1.3641605476941661E-2</v>
      </c>
    </row>
    <row r="1029" spans="1:8" x14ac:dyDescent="0.3">
      <c r="A1029" s="5">
        <v>43497</v>
      </c>
      <c r="B1029" s="6">
        <v>7256.3701170000004</v>
      </c>
      <c r="C1029" s="6">
        <v>7299.9399409999996</v>
      </c>
      <c r="D1029" s="6">
        <v>7243.4101559999999</v>
      </c>
      <c r="E1029" s="6">
        <v>7263.8701170000004</v>
      </c>
      <c r="F1029" s="6">
        <v>7263.8701170000004</v>
      </c>
      <c r="G1029" s="4">
        <v>2383430000</v>
      </c>
      <c r="H1029">
        <f t="shared" si="16"/>
        <v>-2.4571160040117806E-3</v>
      </c>
    </row>
    <row r="1030" spans="1:8" x14ac:dyDescent="0.3">
      <c r="A1030" s="5">
        <v>43500</v>
      </c>
      <c r="B1030" s="6">
        <v>7266.2797849999997</v>
      </c>
      <c r="C1030" s="6">
        <v>7348.2299800000001</v>
      </c>
      <c r="D1030" s="6">
        <v>7261.0698240000002</v>
      </c>
      <c r="E1030" s="6">
        <v>7347.5400390000004</v>
      </c>
      <c r="F1030" s="6">
        <v>7347.5400390000004</v>
      </c>
      <c r="G1030" s="4">
        <v>2099470000</v>
      </c>
      <c r="H1030">
        <f t="shared" si="16"/>
        <v>1.1452807862403042E-2</v>
      </c>
    </row>
    <row r="1031" spans="1:8" x14ac:dyDescent="0.3">
      <c r="A1031" s="5">
        <v>43501</v>
      </c>
      <c r="B1031" s="6">
        <v>7356.3398440000001</v>
      </c>
      <c r="C1031" s="6">
        <v>7408.6801759999998</v>
      </c>
      <c r="D1031" s="6">
        <v>7355.3598629999997</v>
      </c>
      <c r="E1031" s="6">
        <v>7402.080078</v>
      </c>
      <c r="F1031" s="6">
        <v>7402.080078</v>
      </c>
      <c r="G1031" s="4">
        <v>2265520000</v>
      </c>
      <c r="H1031">
        <f t="shared" si="16"/>
        <v>7.3954837003007258E-3</v>
      </c>
    </row>
    <row r="1032" spans="1:8" x14ac:dyDescent="0.3">
      <c r="A1032" s="5">
        <v>43502</v>
      </c>
      <c r="B1032" s="6">
        <v>7400.4399409999996</v>
      </c>
      <c r="C1032" s="6">
        <v>7410.7700199999999</v>
      </c>
      <c r="D1032" s="6">
        <v>7346.7202150000003</v>
      </c>
      <c r="E1032" s="6">
        <v>7375.2797849999997</v>
      </c>
      <c r="F1032" s="6">
        <v>7375.2797849999997</v>
      </c>
      <c r="G1032" s="4">
        <v>2167130000</v>
      </c>
      <c r="H1032">
        <f t="shared" si="16"/>
        <v>-3.6272138774493066E-3</v>
      </c>
    </row>
    <row r="1033" spans="1:8" x14ac:dyDescent="0.3">
      <c r="A1033" s="5">
        <v>43503</v>
      </c>
      <c r="B1033" s="6">
        <v>7316.5</v>
      </c>
      <c r="C1033" s="6">
        <v>7336.7402339999999</v>
      </c>
      <c r="D1033" s="6">
        <v>7235.0498049999997</v>
      </c>
      <c r="E1033" s="6">
        <v>7288.3500979999999</v>
      </c>
      <c r="F1033" s="6">
        <v>7288.3500979999999</v>
      </c>
      <c r="G1033" s="4">
        <v>2295080000</v>
      </c>
      <c r="H1033">
        <f t="shared" si="16"/>
        <v>-1.1856642055511048E-2</v>
      </c>
    </row>
    <row r="1034" spans="1:8" x14ac:dyDescent="0.3">
      <c r="A1034" s="5">
        <v>43504</v>
      </c>
      <c r="B1034" s="6">
        <v>7232.2998049999997</v>
      </c>
      <c r="C1034" s="6">
        <v>7299.4399409999996</v>
      </c>
      <c r="D1034" s="6">
        <v>7225.1401370000003</v>
      </c>
      <c r="E1034" s="6">
        <v>7298.2001950000003</v>
      </c>
      <c r="F1034" s="6">
        <v>7298.2001950000003</v>
      </c>
      <c r="G1034" s="4">
        <v>2086260000</v>
      </c>
      <c r="H1034">
        <f t="shared" si="16"/>
        <v>1.3505727261613702E-3</v>
      </c>
    </row>
    <row r="1035" spans="1:8" x14ac:dyDescent="0.3">
      <c r="A1035" s="5">
        <v>43507</v>
      </c>
      <c r="B1035" s="6">
        <v>7327.3701170000004</v>
      </c>
      <c r="C1035" s="6">
        <v>7343.5600590000004</v>
      </c>
      <c r="D1035" s="6">
        <v>7290.0297849999997</v>
      </c>
      <c r="E1035" s="6">
        <v>7307.8999020000001</v>
      </c>
      <c r="F1035" s="6">
        <v>7307.8999020000001</v>
      </c>
      <c r="G1035" s="4">
        <v>1897800000</v>
      </c>
      <c r="H1035">
        <f t="shared" si="16"/>
        <v>1.328172251521506E-3</v>
      </c>
    </row>
    <row r="1036" spans="1:8" x14ac:dyDescent="0.3">
      <c r="A1036" s="5">
        <v>43508</v>
      </c>
      <c r="B1036" s="6">
        <v>7358.8500979999999</v>
      </c>
      <c r="C1036" s="6">
        <v>7419.4301759999998</v>
      </c>
      <c r="D1036" s="6">
        <v>7349.7998049999997</v>
      </c>
      <c r="E1036" s="6">
        <v>7414.6201170000004</v>
      </c>
      <c r="F1036" s="6">
        <v>7414.6201170000004</v>
      </c>
      <c r="G1036" s="4">
        <v>2124330000</v>
      </c>
      <c r="H1036">
        <f t="shared" si="16"/>
        <v>1.4497801207372252E-2</v>
      </c>
    </row>
    <row r="1037" spans="1:8" x14ac:dyDescent="0.3">
      <c r="A1037" s="5">
        <v>43509</v>
      </c>
      <c r="B1037" s="6">
        <v>7437.4599609999996</v>
      </c>
      <c r="C1037" s="6">
        <v>7461.6601559999999</v>
      </c>
      <c r="D1037" s="6">
        <v>7413.8398440000001</v>
      </c>
      <c r="E1037" s="6">
        <v>7420.3798829999996</v>
      </c>
      <c r="F1037" s="6">
        <v>7420.3798829999996</v>
      </c>
      <c r="G1037" s="4">
        <v>2093800000</v>
      </c>
      <c r="H1037">
        <f t="shared" si="16"/>
        <v>7.7651045357757893E-4</v>
      </c>
    </row>
    <row r="1038" spans="1:8" x14ac:dyDescent="0.3">
      <c r="A1038" s="5">
        <v>43510</v>
      </c>
      <c r="B1038" s="6">
        <v>7390.25</v>
      </c>
      <c r="C1038" s="6">
        <v>7454.419922</v>
      </c>
      <c r="D1038" s="6">
        <v>7375.7099609999996</v>
      </c>
      <c r="E1038" s="6">
        <v>7426.9501950000003</v>
      </c>
      <c r="F1038" s="6">
        <v>7426.9501950000003</v>
      </c>
      <c r="G1038" s="4">
        <v>2103370000</v>
      </c>
      <c r="H1038">
        <f t="shared" si="16"/>
        <v>8.8504968830996713E-4</v>
      </c>
    </row>
    <row r="1039" spans="1:8" x14ac:dyDescent="0.3">
      <c r="A1039" s="5">
        <v>43511</v>
      </c>
      <c r="B1039" s="6">
        <v>7468.5698240000002</v>
      </c>
      <c r="C1039" s="6">
        <v>7477.2797849999997</v>
      </c>
      <c r="D1039" s="6">
        <v>7440.2597660000001</v>
      </c>
      <c r="E1039" s="6">
        <v>7472.4101559999999</v>
      </c>
      <c r="F1039" s="6">
        <v>7472.4101559999999</v>
      </c>
      <c r="G1039" s="4">
        <v>2257750000</v>
      </c>
      <c r="H1039">
        <f t="shared" si="16"/>
        <v>6.1022890914158188E-3</v>
      </c>
    </row>
    <row r="1040" spans="1:8" x14ac:dyDescent="0.3">
      <c r="A1040" s="5">
        <v>43515</v>
      </c>
      <c r="B1040" s="6">
        <v>7450.75</v>
      </c>
      <c r="C1040" s="6">
        <v>7507.7900390000004</v>
      </c>
      <c r="D1040" s="6">
        <v>7450.2700199999999</v>
      </c>
      <c r="E1040" s="6">
        <v>7486.7700199999999</v>
      </c>
      <c r="F1040" s="6">
        <v>7486.7700199999999</v>
      </c>
      <c r="G1040" s="4">
        <v>2120790000</v>
      </c>
      <c r="H1040">
        <f t="shared" si="16"/>
        <v>1.9198737152464952E-3</v>
      </c>
    </row>
    <row r="1041" spans="1:8" x14ac:dyDescent="0.3">
      <c r="A1041" s="5">
        <v>43516</v>
      </c>
      <c r="B1041" s="6">
        <v>7490.3100590000004</v>
      </c>
      <c r="C1041" s="6">
        <v>7513.7001950000003</v>
      </c>
      <c r="D1041" s="6">
        <v>7455.25</v>
      </c>
      <c r="E1041" s="6">
        <v>7489.0698240000002</v>
      </c>
      <c r="F1041" s="6">
        <v>7489.0698240000002</v>
      </c>
      <c r="G1041" s="4">
        <v>2181760000</v>
      </c>
      <c r="H1041">
        <f t="shared" si="16"/>
        <v>3.0713523141744596E-4</v>
      </c>
    </row>
    <row r="1042" spans="1:8" x14ac:dyDescent="0.3">
      <c r="A1042" s="5">
        <v>43517</v>
      </c>
      <c r="B1042" s="6">
        <v>7475.4101559999999</v>
      </c>
      <c r="C1042" s="6">
        <v>7485.75</v>
      </c>
      <c r="D1042" s="6">
        <v>7430.8901370000003</v>
      </c>
      <c r="E1042" s="6">
        <v>7459.7099609999996</v>
      </c>
      <c r="F1042" s="6">
        <v>7459.7099609999996</v>
      </c>
      <c r="G1042" s="4">
        <v>2119080000</v>
      </c>
      <c r="H1042">
        <f t="shared" si="16"/>
        <v>-3.9280665276271373E-3</v>
      </c>
    </row>
    <row r="1043" spans="1:8" x14ac:dyDescent="0.3">
      <c r="A1043" s="5">
        <v>43518</v>
      </c>
      <c r="B1043" s="6">
        <v>7481.6298829999996</v>
      </c>
      <c r="C1043" s="6">
        <v>7527.5400390000004</v>
      </c>
      <c r="D1043" s="6">
        <v>7479.0097660000001</v>
      </c>
      <c r="E1043" s="6">
        <v>7527.5400390000004</v>
      </c>
      <c r="F1043" s="6">
        <v>7527.5400390000004</v>
      </c>
      <c r="G1043" s="4">
        <v>2417680000</v>
      </c>
      <c r="H1043">
        <f t="shared" si="16"/>
        <v>9.0517661524956682E-3</v>
      </c>
    </row>
    <row r="1044" spans="1:8" x14ac:dyDescent="0.3">
      <c r="A1044" s="5">
        <v>43521</v>
      </c>
      <c r="B1044" s="6">
        <v>7585.2998049999997</v>
      </c>
      <c r="C1044" s="6">
        <v>7602.6899409999996</v>
      </c>
      <c r="D1044" s="6">
        <v>7551.6098629999997</v>
      </c>
      <c r="E1044" s="6">
        <v>7554.4599609999996</v>
      </c>
      <c r="F1044" s="6">
        <v>7554.4599609999996</v>
      </c>
      <c r="G1044" s="4">
        <v>2363140000</v>
      </c>
      <c r="H1044">
        <f t="shared" si="16"/>
        <v>3.5698117740292955E-3</v>
      </c>
    </row>
    <row r="1045" spans="1:8" x14ac:dyDescent="0.3">
      <c r="A1045" s="5">
        <v>43522</v>
      </c>
      <c r="B1045" s="6">
        <v>7535.2900390000004</v>
      </c>
      <c r="C1045" s="6">
        <v>7573.2202150000003</v>
      </c>
      <c r="D1045" s="6">
        <v>7524.3100590000004</v>
      </c>
      <c r="E1045" s="6">
        <v>7549.2998049999997</v>
      </c>
      <c r="F1045" s="6">
        <v>7549.2998049999997</v>
      </c>
      <c r="G1045" s="4">
        <v>2257710000</v>
      </c>
      <c r="H1045">
        <f t="shared" si="16"/>
        <v>-6.8329426324494622E-4</v>
      </c>
    </row>
    <row r="1046" spans="1:8" x14ac:dyDescent="0.3">
      <c r="A1046" s="5">
        <v>43523</v>
      </c>
      <c r="B1046" s="6">
        <v>7526.419922</v>
      </c>
      <c r="C1046" s="6">
        <v>7562.2900390000004</v>
      </c>
      <c r="D1046" s="6">
        <v>7485.3901370000003</v>
      </c>
      <c r="E1046" s="6">
        <v>7554.5097660000001</v>
      </c>
      <c r="F1046" s="6">
        <v>7554.5097660000001</v>
      </c>
      <c r="G1046" s="4">
        <v>2423360000</v>
      </c>
      <c r="H1046">
        <f t="shared" si="16"/>
        <v>6.898870357370955E-4</v>
      </c>
    </row>
    <row r="1047" spans="1:8" x14ac:dyDescent="0.3">
      <c r="A1047" s="5">
        <v>43524</v>
      </c>
      <c r="B1047" s="6">
        <v>7533.3100590000004</v>
      </c>
      <c r="C1047" s="6">
        <v>7561.8999020000001</v>
      </c>
      <c r="D1047" s="6">
        <v>7516.4799800000001</v>
      </c>
      <c r="E1047" s="6">
        <v>7532.5297849999997</v>
      </c>
      <c r="F1047" s="6">
        <v>7532.5297849999997</v>
      </c>
      <c r="G1047" s="4">
        <v>2647080000</v>
      </c>
      <c r="H1047">
        <f t="shared" si="16"/>
        <v>-2.9137587233751365E-3</v>
      </c>
    </row>
    <row r="1048" spans="1:8" x14ac:dyDescent="0.3">
      <c r="A1048" s="5">
        <v>43525</v>
      </c>
      <c r="B1048" s="6">
        <v>7587.4501950000003</v>
      </c>
      <c r="C1048" s="6">
        <v>7603.0400390000004</v>
      </c>
      <c r="D1048" s="6">
        <v>7540.75</v>
      </c>
      <c r="E1048" s="6">
        <v>7595.3500979999999</v>
      </c>
      <c r="F1048" s="6">
        <v>7595.3500979999999</v>
      </c>
      <c r="G1048" s="4">
        <v>2463190000</v>
      </c>
      <c r="H1048">
        <f t="shared" si="16"/>
        <v>8.3052846249149961E-3</v>
      </c>
    </row>
    <row r="1049" spans="1:8" x14ac:dyDescent="0.3">
      <c r="A1049" s="5">
        <v>43528</v>
      </c>
      <c r="B1049" s="6">
        <v>7636.6201170000004</v>
      </c>
      <c r="C1049" s="6">
        <v>7643.6601559999999</v>
      </c>
      <c r="D1049" s="6">
        <v>7501.5600590000004</v>
      </c>
      <c r="E1049" s="6">
        <v>7577.5698240000002</v>
      </c>
      <c r="F1049" s="6">
        <v>7577.5698240000002</v>
      </c>
      <c r="G1049" s="4">
        <v>2569590000</v>
      </c>
      <c r="H1049">
        <f t="shared" si="16"/>
        <v>-2.3436862818921665E-3</v>
      </c>
    </row>
    <row r="1050" spans="1:8" x14ac:dyDescent="0.3">
      <c r="A1050" s="5">
        <v>43529</v>
      </c>
      <c r="B1050" s="6">
        <v>7582.2900390000004</v>
      </c>
      <c r="C1050" s="6">
        <v>7598.6601559999999</v>
      </c>
      <c r="D1050" s="6">
        <v>7543.5400390000004</v>
      </c>
      <c r="E1050" s="6">
        <v>7576.3598629999997</v>
      </c>
      <c r="F1050" s="6">
        <v>7576.3598629999997</v>
      </c>
      <c r="G1050" s="4">
        <v>2142610000</v>
      </c>
      <c r="H1050">
        <f t="shared" si="16"/>
        <v>-1.5968940434102046E-4</v>
      </c>
    </row>
    <row r="1051" spans="1:8" x14ac:dyDescent="0.3">
      <c r="A1051" s="5">
        <v>43530</v>
      </c>
      <c r="B1051" s="6">
        <v>7575.3798829999996</v>
      </c>
      <c r="C1051" s="6">
        <v>7579.0200199999999</v>
      </c>
      <c r="D1051" s="6">
        <v>7499.8701170000004</v>
      </c>
      <c r="E1051" s="6">
        <v>7505.919922</v>
      </c>
      <c r="F1051" s="6">
        <v>7505.919922</v>
      </c>
      <c r="G1051" s="4">
        <v>2242810000</v>
      </c>
      <c r="H1051">
        <f t="shared" si="16"/>
        <v>-9.3408230275775946E-3</v>
      </c>
    </row>
    <row r="1052" spans="1:8" x14ac:dyDescent="0.3">
      <c r="A1052" s="5">
        <v>43531</v>
      </c>
      <c r="B1052" s="6">
        <v>7483.7900390000004</v>
      </c>
      <c r="C1052" s="6">
        <v>7489.080078</v>
      </c>
      <c r="D1052" s="6">
        <v>7397.1899409999996</v>
      </c>
      <c r="E1052" s="6">
        <v>7421.4599609999996</v>
      </c>
      <c r="F1052" s="6">
        <v>7421.4599609999996</v>
      </c>
      <c r="G1052" s="4">
        <v>2440840000</v>
      </c>
      <c r="H1052">
        <f t="shared" si="16"/>
        <v>-1.1316234056959803E-2</v>
      </c>
    </row>
    <row r="1053" spans="1:8" x14ac:dyDescent="0.3">
      <c r="A1053" s="5">
        <v>43532</v>
      </c>
      <c r="B1053" s="6">
        <v>7334.3500979999999</v>
      </c>
      <c r="C1053" s="6">
        <v>7411.5200199999999</v>
      </c>
      <c r="D1053" s="6">
        <v>7332.919922</v>
      </c>
      <c r="E1053" s="6">
        <v>7408.1401370000003</v>
      </c>
      <c r="F1053" s="6">
        <v>7408.1401370000003</v>
      </c>
      <c r="G1053" s="4">
        <v>2245430000</v>
      </c>
      <c r="H1053">
        <f t="shared" si="16"/>
        <v>-1.7963839205229048E-3</v>
      </c>
    </row>
    <row r="1054" spans="1:8" x14ac:dyDescent="0.3">
      <c r="A1054" s="5">
        <v>43535</v>
      </c>
      <c r="B1054" s="6">
        <v>7442.5600590000004</v>
      </c>
      <c r="C1054" s="6">
        <v>7558.2299800000001</v>
      </c>
      <c r="D1054" s="6">
        <v>7442.3999020000001</v>
      </c>
      <c r="E1054" s="6">
        <v>7558.0600590000004</v>
      </c>
      <c r="F1054" s="6">
        <v>7558.0600590000004</v>
      </c>
      <c r="G1054" s="4">
        <v>2226950000</v>
      </c>
      <c r="H1054">
        <f t="shared" si="16"/>
        <v>2.0035137163524026E-2</v>
      </c>
    </row>
    <row r="1055" spans="1:8" x14ac:dyDescent="0.3">
      <c r="A1055" s="5">
        <v>43536</v>
      </c>
      <c r="B1055" s="6">
        <v>7571.8500979999999</v>
      </c>
      <c r="C1055" s="6">
        <v>7611.1298829999996</v>
      </c>
      <c r="D1055" s="6">
        <v>7560.4599609999996</v>
      </c>
      <c r="E1055" s="6">
        <v>7591.0297849999997</v>
      </c>
      <c r="F1055" s="6">
        <v>7591.0297849999997</v>
      </c>
      <c r="G1055" s="4">
        <v>2161400000</v>
      </c>
      <c r="H1055">
        <f t="shared" si="16"/>
        <v>4.3527074422776407E-3</v>
      </c>
    </row>
    <row r="1056" spans="1:8" x14ac:dyDescent="0.3">
      <c r="A1056" s="5">
        <v>43537</v>
      </c>
      <c r="B1056" s="6">
        <v>7621.3798829999996</v>
      </c>
      <c r="C1056" s="6">
        <v>7677.0698240000002</v>
      </c>
      <c r="D1056" s="6">
        <v>7619.4599609999996</v>
      </c>
      <c r="E1056" s="6">
        <v>7643.4101559999999</v>
      </c>
      <c r="F1056" s="6">
        <v>7643.4101559999999</v>
      </c>
      <c r="G1056" s="4">
        <v>2366350000</v>
      </c>
      <c r="H1056">
        <f t="shared" si="16"/>
        <v>6.8766003364317263E-3</v>
      </c>
    </row>
    <row r="1057" spans="1:8" x14ac:dyDescent="0.3">
      <c r="A1057" s="5">
        <v>43538</v>
      </c>
      <c r="B1057" s="6">
        <v>7644.7900390000004</v>
      </c>
      <c r="C1057" s="6">
        <v>7653.1000979999999</v>
      </c>
      <c r="D1057" s="6">
        <v>7627.0200199999999</v>
      </c>
      <c r="E1057" s="6">
        <v>7630.9101559999999</v>
      </c>
      <c r="F1057" s="6">
        <v>7630.9101559999999</v>
      </c>
      <c r="G1057" s="4">
        <v>2176510000</v>
      </c>
      <c r="H1057">
        <f t="shared" si="16"/>
        <v>-1.6367344058773224E-3</v>
      </c>
    </row>
    <row r="1058" spans="1:8" x14ac:dyDescent="0.3">
      <c r="A1058" s="5">
        <v>43539</v>
      </c>
      <c r="B1058" s="6">
        <v>7658.4101559999999</v>
      </c>
      <c r="C1058" s="6">
        <v>7714.9599609999996</v>
      </c>
      <c r="D1058" s="6">
        <v>7652.0400390000004</v>
      </c>
      <c r="E1058" s="6">
        <v>7688.5297849999997</v>
      </c>
      <c r="F1058" s="6">
        <v>7688.5297849999997</v>
      </c>
      <c r="G1058" s="4">
        <v>3447190000</v>
      </c>
      <c r="H1058">
        <f t="shared" si="16"/>
        <v>7.5224552507686254E-3</v>
      </c>
    </row>
    <row r="1059" spans="1:8" x14ac:dyDescent="0.3">
      <c r="A1059" s="5">
        <v>43542</v>
      </c>
      <c r="B1059" s="6">
        <v>7696.3798829999996</v>
      </c>
      <c r="C1059" s="6">
        <v>7737.669922</v>
      </c>
      <c r="D1059" s="6">
        <v>7677.7402339999999</v>
      </c>
      <c r="E1059" s="6">
        <v>7714.4799800000001</v>
      </c>
      <c r="F1059" s="6">
        <v>7714.4799800000001</v>
      </c>
      <c r="G1059" s="4">
        <v>2274490000</v>
      </c>
      <c r="H1059">
        <f t="shared" si="16"/>
        <v>3.369499850756933E-3</v>
      </c>
    </row>
    <row r="1060" spans="1:8" x14ac:dyDescent="0.3">
      <c r="A1060" s="5">
        <v>43543</v>
      </c>
      <c r="B1060" s="6">
        <v>7747.3999020000001</v>
      </c>
      <c r="C1060" s="6">
        <v>7767.8901370000003</v>
      </c>
      <c r="D1060" s="6">
        <v>7699.1499020000001</v>
      </c>
      <c r="E1060" s="6">
        <v>7723.9501950000003</v>
      </c>
      <c r="F1060" s="6">
        <v>7723.9501950000003</v>
      </c>
      <c r="G1060" s="4">
        <v>2433160000</v>
      </c>
      <c r="H1060">
        <f t="shared" si="16"/>
        <v>1.2268366771071091E-3</v>
      </c>
    </row>
    <row r="1061" spans="1:8" x14ac:dyDescent="0.3">
      <c r="A1061" s="5">
        <v>43544</v>
      </c>
      <c r="B1061" s="6">
        <v>7721.9501950000003</v>
      </c>
      <c r="C1061" s="6">
        <v>7779.2402339999999</v>
      </c>
      <c r="D1061" s="6">
        <v>7674.0400390000004</v>
      </c>
      <c r="E1061" s="6">
        <v>7728.9702150000003</v>
      </c>
      <c r="F1061" s="6">
        <v>7728.9702150000003</v>
      </c>
      <c r="G1061" s="4">
        <v>2424400000</v>
      </c>
      <c r="H1061">
        <f t="shared" si="16"/>
        <v>6.4971798772020506E-4</v>
      </c>
    </row>
    <row r="1062" spans="1:8" x14ac:dyDescent="0.3">
      <c r="A1062" s="5">
        <v>43545</v>
      </c>
      <c r="B1062" s="6">
        <v>7705.4301759999998</v>
      </c>
      <c r="C1062" s="6">
        <v>7850.1098629999997</v>
      </c>
      <c r="D1062" s="6">
        <v>7705.4301759999998</v>
      </c>
      <c r="E1062" s="6">
        <v>7838.9599609999996</v>
      </c>
      <c r="F1062" s="6">
        <v>7838.9599609999996</v>
      </c>
      <c r="G1062" s="4">
        <v>2483580000</v>
      </c>
      <c r="H1062">
        <f t="shared" si="16"/>
        <v>1.4130533077441755E-2</v>
      </c>
    </row>
    <row r="1063" spans="1:8" x14ac:dyDescent="0.3">
      <c r="A1063" s="5">
        <v>43546</v>
      </c>
      <c r="B1063" s="6">
        <v>7800.25</v>
      </c>
      <c r="C1063" s="6">
        <v>7817.830078</v>
      </c>
      <c r="D1063" s="6">
        <v>7642.5698240000002</v>
      </c>
      <c r="E1063" s="6">
        <v>7642.669922</v>
      </c>
      <c r="F1063" s="6">
        <v>7642.669922</v>
      </c>
      <c r="G1063" s="4">
        <v>2490730000</v>
      </c>
      <c r="H1063">
        <f t="shared" si="16"/>
        <v>-2.5359159167051497E-2</v>
      </c>
    </row>
    <row r="1064" spans="1:8" x14ac:dyDescent="0.3">
      <c r="A1064" s="5">
        <v>43549</v>
      </c>
      <c r="B1064" s="6">
        <v>7618.9799800000001</v>
      </c>
      <c r="C1064" s="6">
        <v>7662.3798829999996</v>
      </c>
      <c r="D1064" s="6">
        <v>7579.2900390000004</v>
      </c>
      <c r="E1064" s="6">
        <v>7637.5400390000004</v>
      </c>
      <c r="F1064" s="6">
        <v>7637.5400390000004</v>
      </c>
      <c r="G1064" s="4">
        <v>2130230000</v>
      </c>
      <c r="H1064">
        <f t="shared" si="16"/>
        <v>-6.7144145346431368E-4</v>
      </c>
    </row>
    <row r="1065" spans="1:8" x14ac:dyDescent="0.3">
      <c r="A1065" s="5">
        <v>43550</v>
      </c>
      <c r="B1065" s="6">
        <v>7700</v>
      </c>
      <c r="C1065" s="6">
        <v>7738.169922</v>
      </c>
      <c r="D1065" s="6">
        <v>7649.2099609999996</v>
      </c>
      <c r="E1065" s="6">
        <v>7691.5200199999999</v>
      </c>
      <c r="F1065" s="6">
        <v>7691.5200199999999</v>
      </c>
      <c r="G1065" s="4">
        <v>2068900000</v>
      </c>
      <c r="H1065">
        <f t="shared" si="16"/>
        <v>7.0428589773520681E-3</v>
      </c>
    </row>
    <row r="1066" spans="1:8" x14ac:dyDescent="0.3">
      <c r="A1066" s="5">
        <v>43551</v>
      </c>
      <c r="B1066" s="6">
        <v>7702.0498049999997</v>
      </c>
      <c r="C1066" s="6">
        <v>7712.8398440000001</v>
      </c>
      <c r="D1066" s="6">
        <v>7582.0898440000001</v>
      </c>
      <c r="E1066" s="6">
        <v>7643.3798829999996</v>
      </c>
      <c r="F1066" s="6">
        <v>7643.3798829999996</v>
      </c>
      <c r="G1066" s="4">
        <v>2221650000</v>
      </c>
      <c r="H1066">
        <f t="shared" si="16"/>
        <v>-6.2785274692867352E-3</v>
      </c>
    </row>
    <row r="1067" spans="1:8" x14ac:dyDescent="0.3">
      <c r="A1067" s="5">
        <v>43552</v>
      </c>
      <c r="B1067" s="6">
        <v>7660.0698240000002</v>
      </c>
      <c r="C1067" s="6">
        <v>7689.1601559999999</v>
      </c>
      <c r="D1067" s="6">
        <v>7619.8198240000002</v>
      </c>
      <c r="E1067" s="6">
        <v>7669.169922</v>
      </c>
      <c r="F1067" s="6">
        <v>7669.169922</v>
      </c>
      <c r="G1067" s="4">
        <v>1902060000</v>
      </c>
      <c r="H1067">
        <f t="shared" si="16"/>
        <v>3.3684871186604108E-3</v>
      </c>
    </row>
    <row r="1068" spans="1:8" x14ac:dyDescent="0.3">
      <c r="A1068" s="5">
        <v>43553</v>
      </c>
      <c r="B1068" s="6">
        <v>7726.7099609999996</v>
      </c>
      <c r="C1068" s="6">
        <v>7733.6201170000004</v>
      </c>
      <c r="D1068" s="6">
        <v>7688.5097660000001</v>
      </c>
      <c r="E1068" s="6">
        <v>7729.3198240000002</v>
      </c>
      <c r="F1068" s="6">
        <v>7729.3198240000002</v>
      </c>
      <c r="G1068" s="4">
        <v>2233470000</v>
      </c>
      <c r="H1068">
        <f t="shared" si="16"/>
        <v>7.8124814743064036E-3</v>
      </c>
    </row>
    <row r="1069" spans="1:8" x14ac:dyDescent="0.3">
      <c r="A1069" s="5">
        <v>43556</v>
      </c>
      <c r="B1069" s="6">
        <v>7800.2402339999999</v>
      </c>
      <c r="C1069" s="6">
        <v>7831.4501950000003</v>
      </c>
      <c r="D1069" s="6">
        <v>7777.0898440000001</v>
      </c>
      <c r="E1069" s="6">
        <v>7828.9101559999999</v>
      </c>
      <c r="F1069" s="6">
        <v>7828.9101559999999</v>
      </c>
      <c r="G1069" s="4">
        <v>2198050000</v>
      </c>
      <c r="H1069">
        <f t="shared" si="16"/>
        <v>1.2802445057546208E-2</v>
      </c>
    </row>
    <row r="1070" spans="1:8" x14ac:dyDescent="0.3">
      <c r="A1070" s="5">
        <v>43557</v>
      </c>
      <c r="B1070" s="6">
        <v>7824.6098629999997</v>
      </c>
      <c r="C1070" s="6">
        <v>7854.919922</v>
      </c>
      <c r="D1070" s="6">
        <v>7811.2797849999997</v>
      </c>
      <c r="E1070" s="6">
        <v>7848.6899409999996</v>
      </c>
      <c r="F1070" s="6">
        <v>7848.6899409999996</v>
      </c>
      <c r="G1070" s="4">
        <v>2110100000</v>
      </c>
      <c r="H1070">
        <f t="shared" si="16"/>
        <v>2.5233193055918331E-3</v>
      </c>
    </row>
    <row r="1071" spans="1:8" x14ac:dyDescent="0.3">
      <c r="A1071" s="5">
        <v>43558</v>
      </c>
      <c r="B1071" s="6">
        <v>7891.1801759999998</v>
      </c>
      <c r="C1071" s="6">
        <v>7938.2597660000001</v>
      </c>
      <c r="D1071" s="6">
        <v>7870.8999020000001</v>
      </c>
      <c r="E1071" s="6">
        <v>7895.5498049999997</v>
      </c>
      <c r="F1071" s="6">
        <v>7895.5498049999997</v>
      </c>
      <c r="G1071" s="4">
        <v>2487210000</v>
      </c>
      <c r="H1071">
        <f t="shared" si="16"/>
        <v>5.9526535578221795E-3</v>
      </c>
    </row>
    <row r="1072" spans="1:8" x14ac:dyDescent="0.3">
      <c r="A1072" s="5">
        <v>43559</v>
      </c>
      <c r="B1072" s="6">
        <v>7894.2597660000001</v>
      </c>
      <c r="C1072" s="6">
        <v>7917.6499020000001</v>
      </c>
      <c r="D1072" s="6">
        <v>7844.9599609999996</v>
      </c>
      <c r="E1072" s="6">
        <v>7891.7797849999997</v>
      </c>
      <c r="F1072" s="6">
        <v>7891.7797849999997</v>
      </c>
      <c r="G1072" s="4">
        <v>2094200000</v>
      </c>
      <c r="H1072">
        <f t="shared" si="16"/>
        <v>-4.7760073040474603E-4</v>
      </c>
    </row>
    <row r="1073" spans="1:8" x14ac:dyDescent="0.3">
      <c r="A1073" s="5">
        <v>43560</v>
      </c>
      <c r="B1073" s="6">
        <v>7914.5097660000001</v>
      </c>
      <c r="C1073" s="6">
        <v>7940.4501950000003</v>
      </c>
      <c r="D1073" s="6">
        <v>7909.1401370000003</v>
      </c>
      <c r="E1073" s="6">
        <v>7938.6899409999996</v>
      </c>
      <c r="F1073" s="6">
        <v>7938.6899409999996</v>
      </c>
      <c r="G1073" s="4">
        <v>2148730000</v>
      </c>
      <c r="H1073">
        <f t="shared" si="16"/>
        <v>5.9265826118087223E-3</v>
      </c>
    </row>
    <row r="1074" spans="1:8" x14ac:dyDescent="0.3">
      <c r="A1074" s="5">
        <v>43563</v>
      </c>
      <c r="B1074" s="6">
        <v>7924.8901370000003</v>
      </c>
      <c r="C1074" s="6">
        <v>7955.8999020000001</v>
      </c>
      <c r="D1074" s="6">
        <v>7891.8500979999999</v>
      </c>
      <c r="E1074" s="6">
        <v>7953.8798829999996</v>
      </c>
      <c r="F1074" s="6">
        <v>7953.8798829999996</v>
      </c>
      <c r="G1074" s="4">
        <v>2069190000</v>
      </c>
      <c r="H1074">
        <f t="shared" si="16"/>
        <v>1.9115784034582036E-3</v>
      </c>
    </row>
    <row r="1075" spans="1:8" x14ac:dyDescent="0.3">
      <c r="A1075" s="5">
        <v>43564</v>
      </c>
      <c r="B1075" s="6">
        <v>7924.7700199999999</v>
      </c>
      <c r="C1075" s="6">
        <v>7945.5498049999997</v>
      </c>
      <c r="D1075" s="6">
        <v>7897.6098629999997</v>
      </c>
      <c r="E1075" s="6">
        <v>7909.2797849999997</v>
      </c>
      <c r="F1075" s="6">
        <v>7909.2797849999997</v>
      </c>
      <c r="G1075" s="4">
        <v>2067570000</v>
      </c>
      <c r="H1075">
        <f t="shared" si="16"/>
        <v>-5.623118779946085E-3</v>
      </c>
    </row>
    <row r="1076" spans="1:8" x14ac:dyDescent="0.3">
      <c r="A1076" s="5">
        <v>43565</v>
      </c>
      <c r="B1076" s="6">
        <v>7922.7299800000001</v>
      </c>
      <c r="C1076" s="6">
        <v>7965.330078</v>
      </c>
      <c r="D1076" s="6">
        <v>7916.8999020000001</v>
      </c>
      <c r="E1076" s="6">
        <v>7964.2402339999999</v>
      </c>
      <c r="F1076" s="6">
        <v>7964.2402339999999</v>
      </c>
      <c r="G1076" s="4">
        <v>1998280000</v>
      </c>
      <c r="H1076">
        <f t="shared" si="16"/>
        <v>6.9248243063228616E-3</v>
      </c>
    </row>
    <row r="1077" spans="1:8" x14ac:dyDescent="0.3">
      <c r="A1077" s="5">
        <v>43566</v>
      </c>
      <c r="B1077" s="6">
        <v>7975.2001950000003</v>
      </c>
      <c r="C1077" s="6">
        <v>7975.2001950000003</v>
      </c>
      <c r="D1077" s="6">
        <v>7933.4101559999999</v>
      </c>
      <c r="E1077" s="6">
        <v>7947.3598629999997</v>
      </c>
      <c r="F1077" s="6">
        <v>7947.3598629999997</v>
      </c>
      <c r="G1077" s="4">
        <v>1956840000</v>
      </c>
      <c r="H1077">
        <f t="shared" si="16"/>
        <v>-2.1217699326172221E-3</v>
      </c>
    </row>
    <row r="1078" spans="1:8" x14ac:dyDescent="0.3">
      <c r="A1078" s="5">
        <v>43567</v>
      </c>
      <c r="B1078" s="6">
        <v>7984.1499020000001</v>
      </c>
      <c r="C1078" s="6">
        <v>7992.0898440000001</v>
      </c>
      <c r="D1078" s="6">
        <v>7952.6098629999997</v>
      </c>
      <c r="E1078" s="6">
        <v>7984.1601559999999</v>
      </c>
      <c r="F1078" s="6">
        <v>7984.1601559999999</v>
      </c>
      <c r="G1078" s="4">
        <v>1955290000</v>
      </c>
      <c r="H1078">
        <f t="shared" si="16"/>
        <v>4.6198176203654769E-3</v>
      </c>
    </row>
    <row r="1079" spans="1:8" x14ac:dyDescent="0.3">
      <c r="A1079" s="5">
        <v>43570</v>
      </c>
      <c r="B1079" s="6">
        <v>7987.1601559999999</v>
      </c>
      <c r="C1079" s="6">
        <v>7993.330078</v>
      </c>
      <c r="D1079" s="6">
        <v>7933.5698240000002</v>
      </c>
      <c r="E1079" s="6">
        <v>7976.0097660000001</v>
      </c>
      <c r="F1079" s="6">
        <v>7976.0097660000001</v>
      </c>
      <c r="G1079" s="4">
        <v>1816920000</v>
      </c>
      <c r="H1079">
        <f t="shared" si="16"/>
        <v>-1.0213413451524507E-3</v>
      </c>
    </row>
    <row r="1080" spans="1:8" x14ac:dyDescent="0.3">
      <c r="A1080" s="5">
        <v>43571</v>
      </c>
      <c r="B1080" s="6">
        <v>8000.5698240000002</v>
      </c>
      <c r="C1080" s="6">
        <v>8017.5600590000004</v>
      </c>
      <c r="D1080" s="6">
        <v>7978.8100590000004</v>
      </c>
      <c r="E1080" s="6">
        <v>8000.2299800000001</v>
      </c>
      <c r="F1080" s="6">
        <v>8000.2299800000001</v>
      </c>
      <c r="G1080" s="4">
        <v>2095330000</v>
      </c>
      <c r="H1080">
        <f t="shared" si="16"/>
        <v>3.0320316845770098E-3</v>
      </c>
    </row>
    <row r="1081" spans="1:8" x14ac:dyDescent="0.3">
      <c r="A1081" s="5">
        <v>43572</v>
      </c>
      <c r="B1081" s="6">
        <v>8044.9702150000003</v>
      </c>
      <c r="C1081" s="6">
        <v>8052.3999020000001</v>
      </c>
      <c r="D1081" s="6">
        <v>7973.3798829999996</v>
      </c>
      <c r="E1081" s="6">
        <v>7996.080078</v>
      </c>
      <c r="F1081" s="6">
        <v>7996.080078</v>
      </c>
      <c r="G1081" s="4">
        <v>2290690000</v>
      </c>
      <c r="H1081">
        <f t="shared" si="16"/>
        <v>-5.1885742124952296E-4</v>
      </c>
    </row>
    <row r="1082" spans="1:8" x14ac:dyDescent="0.3">
      <c r="A1082" s="5">
        <v>43573</v>
      </c>
      <c r="B1082" s="6">
        <v>7998.4501950000003</v>
      </c>
      <c r="C1082" s="6">
        <v>8002.3100590000004</v>
      </c>
      <c r="D1082" s="6">
        <v>7950.9702150000003</v>
      </c>
      <c r="E1082" s="6">
        <v>7998.0600590000004</v>
      </c>
      <c r="F1082" s="6">
        <v>7998.0600590000004</v>
      </c>
      <c r="G1082" s="4">
        <v>2089360000</v>
      </c>
      <c r="H1082">
        <f t="shared" si="16"/>
        <v>2.4758830336055524E-4</v>
      </c>
    </row>
    <row r="1083" spans="1:8" x14ac:dyDescent="0.3">
      <c r="A1083" s="5">
        <v>43577</v>
      </c>
      <c r="B1083" s="6">
        <v>7969.3701170000004</v>
      </c>
      <c r="C1083" s="6">
        <v>8017.1499020000001</v>
      </c>
      <c r="D1083" s="6">
        <v>7965.8999020000001</v>
      </c>
      <c r="E1083" s="6">
        <v>8015.2700199999999</v>
      </c>
      <c r="F1083" s="6">
        <v>8015.2700199999999</v>
      </c>
      <c r="G1083" s="4">
        <v>1776060000</v>
      </c>
      <c r="H1083">
        <f t="shared" si="16"/>
        <v>2.1494551777995795E-3</v>
      </c>
    </row>
    <row r="1084" spans="1:8" x14ac:dyDescent="0.3">
      <c r="A1084" s="5">
        <v>43578</v>
      </c>
      <c r="B1084" s="6">
        <v>8026.75</v>
      </c>
      <c r="C1084" s="6">
        <v>8128.8701170000004</v>
      </c>
      <c r="D1084" s="6">
        <v>8023.8100590000004</v>
      </c>
      <c r="E1084" s="6">
        <v>8120.8198240000002</v>
      </c>
      <c r="F1084" s="6">
        <v>8120.8198240000002</v>
      </c>
      <c r="G1084" s="4">
        <v>2075070000</v>
      </c>
      <c r="H1084">
        <f t="shared" si="16"/>
        <v>1.308263779736378E-2</v>
      </c>
    </row>
    <row r="1085" spans="1:8" x14ac:dyDescent="0.3">
      <c r="A1085" s="5">
        <v>43579</v>
      </c>
      <c r="B1085" s="6">
        <v>8122.8798829999996</v>
      </c>
      <c r="C1085" s="6">
        <v>8139.5498049999997</v>
      </c>
      <c r="D1085" s="6">
        <v>8101.7001950000003</v>
      </c>
      <c r="E1085" s="6">
        <v>8102.0097660000001</v>
      </c>
      <c r="F1085" s="6">
        <v>8102.0097660000001</v>
      </c>
      <c r="G1085" s="4">
        <v>2022490000</v>
      </c>
      <c r="H1085">
        <f t="shared" si="16"/>
        <v>-2.3189624627491224E-3</v>
      </c>
    </row>
    <row r="1086" spans="1:8" x14ac:dyDescent="0.3">
      <c r="A1086" s="5">
        <v>43580</v>
      </c>
      <c r="B1086" s="6">
        <v>8150.8500979999999</v>
      </c>
      <c r="C1086" s="6">
        <v>8151.8398440000001</v>
      </c>
      <c r="D1086" s="6">
        <v>8075.4101559999999</v>
      </c>
      <c r="E1086" s="6">
        <v>8118.6801759999998</v>
      </c>
      <c r="F1086" s="6">
        <v>8118.6801759999998</v>
      </c>
      <c r="G1086" s="4">
        <v>2063270000</v>
      </c>
      <c r="H1086">
        <f t="shared" si="16"/>
        <v>2.055450899907634E-3</v>
      </c>
    </row>
    <row r="1087" spans="1:8" x14ac:dyDescent="0.3">
      <c r="A1087" s="5">
        <v>43581</v>
      </c>
      <c r="B1087" s="6">
        <v>8100.2797849999997</v>
      </c>
      <c r="C1087" s="6">
        <v>8146.419922</v>
      </c>
      <c r="D1087" s="6">
        <v>8060.8901370000003</v>
      </c>
      <c r="E1087" s="6">
        <v>8146.3999020000001</v>
      </c>
      <c r="F1087" s="6">
        <v>8146.3999020000001</v>
      </c>
      <c r="G1087" s="4">
        <v>1971270000</v>
      </c>
      <c r="H1087">
        <f t="shared" si="16"/>
        <v>3.4084987843974726E-3</v>
      </c>
    </row>
    <row r="1088" spans="1:8" x14ac:dyDescent="0.3">
      <c r="A1088" s="5">
        <v>43584</v>
      </c>
      <c r="B1088" s="6">
        <v>8147.6499020000001</v>
      </c>
      <c r="C1088" s="6">
        <v>8176.080078</v>
      </c>
      <c r="D1088" s="6">
        <v>8136.4101559999999</v>
      </c>
      <c r="E1088" s="6">
        <v>8161.8500979999999</v>
      </c>
      <c r="F1088" s="6">
        <v>8161.8500979999999</v>
      </c>
      <c r="G1088" s="4">
        <v>1761110000</v>
      </c>
      <c r="H1088">
        <f t="shared" si="16"/>
        <v>1.8947711277894962E-3</v>
      </c>
    </row>
    <row r="1089" spans="1:8" x14ac:dyDescent="0.3">
      <c r="A1089" s="5">
        <v>43585</v>
      </c>
      <c r="B1089" s="6">
        <v>8104.9101559999999</v>
      </c>
      <c r="C1089" s="6">
        <v>8124.6098629999997</v>
      </c>
      <c r="D1089" s="6">
        <v>8050.5498049999997</v>
      </c>
      <c r="E1089" s="6">
        <v>8095.3901370000003</v>
      </c>
      <c r="F1089" s="6">
        <v>8095.3901370000003</v>
      </c>
      <c r="G1089" s="4">
        <v>2115770000</v>
      </c>
      <c r="H1089">
        <f t="shared" si="16"/>
        <v>-8.1760901933763258E-3</v>
      </c>
    </row>
    <row r="1090" spans="1:8" x14ac:dyDescent="0.3">
      <c r="A1090" s="5">
        <v>43586</v>
      </c>
      <c r="B1090" s="6">
        <v>8132.9301759999998</v>
      </c>
      <c r="C1090" s="6">
        <v>8146</v>
      </c>
      <c r="D1090" s="6">
        <v>8048.2299800000001</v>
      </c>
      <c r="E1090" s="6">
        <v>8049.6401370000003</v>
      </c>
      <c r="F1090" s="6">
        <v>8049.6401370000003</v>
      </c>
      <c r="G1090" s="4">
        <v>2247420000</v>
      </c>
      <c r="H1090">
        <f t="shared" si="16"/>
        <v>-5.6673938268970523E-3</v>
      </c>
    </row>
    <row r="1091" spans="1:8" x14ac:dyDescent="0.3">
      <c r="A1091" s="5">
        <v>43587</v>
      </c>
      <c r="B1091" s="6">
        <v>8046.4799800000001</v>
      </c>
      <c r="C1091" s="6">
        <v>8094.0600590000004</v>
      </c>
      <c r="D1091" s="6">
        <v>7976.7700199999999</v>
      </c>
      <c r="E1091" s="6">
        <v>8036.7700199999999</v>
      </c>
      <c r="F1091" s="6">
        <v>8036.7700199999999</v>
      </c>
      <c r="G1091" s="4">
        <v>2158600000</v>
      </c>
      <c r="H1091">
        <f t="shared" si="16"/>
        <v>-1.6001232867294134E-3</v>
      </c>
    </row>
    <row r="1092" spans="1:8" x14ac:dyDescent="0.3">
      <c r="A1092" s="5">
        <v>43588</v>
      </c>
      <c r="B1092" s="6">
        <v>8092.8798829999996</v>
      </c>
      <c r="C1092" s="6">
        <v>8164.7099609999996</v>
      </c>
      <c r="D1092" s="6">
        <v>8084.7998049999997</v>
      </c>
      <c r="E1092" s="6">
        <v>8164</v>
      </c>
      <c r="F1092" s="6">
        <v>8164</v>
      </c>
      <c r="G1092" s="4">
        <v>2046040000</v>
      </c>
      <c r="H1092">
        <f t="shared" ref="H1092:H1155" si="17">LN(E1092/E1091)</f>
        <v>1.5706981281346996E-2</v>
      </c>
    </row>
    <row r="1093" spans="1:8" x14ac:dyDescent="0.3">
      <c r="A1093" s="5">
        <v>43591</v>
      </c>
      <c r="B1093" s="6">
        <v>7981.8500979999999</v>
      </c>
      <c r="C1093" s="6">
        <v>8135.5400390000004</v>
      </c>
      <c r="D1093" s="6">
        <v>7981.8500979999999</v>
      </c>
      <c r="E1093" s="6">
        <v>8123.2900390000004</v>
      </c>
      <c r="F1093" s="6">
        <v>8123.2900390000004</v>
      </c>
      <c r="G1093" s="4">
        <v>1966120000</v>
      </c>
      <c r="H1093">
        <f t="shared" si="17"/>
        <v>-4.9989956193857441E-3</v>
      </c>
    </row>
    <row r="1094" spans="1:8" x14ac:dyDescent="0.3">
      <c r="A1094" s="5">
        <v>43592</v>
      </c>
      <c r="B1094" s="6">
        <v>8043.5200199999999</v>
      </c>
      <c r="C1094" s="6">
        <v>8070.9702150000003</v>
      </c>
      <c r="D1094" s="6">
        <v>7899.0200199999999</v>
      </c>
      <c r="E1094" s="6">
        <v>7963.7597660000001</v>
      </c>
      <c r="F1094" s="6">
        <v>7963.7597660000001</v>
      </c>
      <c r="G1094" s="4">
        <v>2376660000</v>
      </c>
      <c r="H1094">
        <f t="shared" si="17"/>
        <v>-1.9834028573701409E-2</v>
      </c>
    </row>
    <row r="1095" spans="1:8" x14ac:dyDescent="0.3">
      <c r="A1095" s="5">
        <v>43593</v>
      </c>
      <c r="B1095" s="6">
        <v>7946.2402339999999</v>
      </c>
      <c r="C1095" s="6">
        <v>8004.4902339999999</v>
      </c>
      <c r="D1095" s="6">
        <v>7923.3500979999999</v>
      </c>
      <c r="E1095" s="6">
        <v>7943.3198240000002</v>
      </c>
      <c r="F1095" s="6">
        <v>7943.3198240000002</v>
      </c>
      <c r="G1095" s="4">
        <v>2175100000</v>
      </c>
      <c r="H1095">
        <f t="shared" si="17"/>
        <v>-2.5699190268028845E-3</v>
      </c>
    </row>
    <row r="1096" spans="1:8" x14ac:dyDescent="0.3">
      <c r="A1096" s="5">
        <v>43594</v>
      </c>
      <c r="B1096" s="6">
        <v>7853.2099609999996</v>
      </c>
      <c r="C1096" s="6">
        <v>7929.7797849999997</v>
      </c>
      <c r="D1096" s="6">
        <v>7796.1601559999999</v>
      </c>
      <c r="E1096" s="6">
        <v>7910.5898440000001</v>
      </c>
      <c r="F1096" s="6">
        <v>7910.5898440000001</v>
      </c>
      <c r="G1096" s="4">
        <v>2520770000</v>
      </c>
      <c r="H1096">
        <f t="shared" si="17"/>
        <v>-4.1289533224903481E-3</v>
      </c>
    </row>
    <row r="1097" spans="1:8" x14ac:dyDescent="0.3">
      <c r="A1097" s="5">
        <v>43595</v>
      </c>
      <c r="B1097" s="6">
        <v>7881.3100590000004</v>
      </c>
      <c r="C1097" s="6">
        <v>7949.3398440000001</v>
      </c>
      <c r="D1097" s="6">
        <v>7759.3398440000001</v>
      </c>
      <c r="E1097" s="6">
        <v>7916.9399409999996</v>
      </c>
      <c r="F1097" s="6">
        <v>7916.9399409999996</v>
      </c>
      <c r="G1097" s="4">
        <v>2387720000</v>
      </c>
      <c r="H1097">
        <f t="shared" si="17"/>
        <v>8.0241167471815965E-4</v>
      </c>
    </row>
    <row r="1098" spans="1:8" x14ac:dyDescent="0.3">
      <c r="A1098" s="5">
        <v>43598</v>
      </c>
      <c r="B1098" s="6">
        <v>7720.0698240000002</v>
      </c>
      <c r="C1098" s="6">
        <v>7760.830078</v>
      </c>
      <c r="D1098" s="6">
        <v>7627.2202150000003</v>
      </c>
      <c r="E1098" s="6">
        <v>7647.0200199999999</v>
      </c>
      <c r="F1098" s="6">
        <v>7647.0200199999999</v>
      </c>
      <c r="G1098" s="4">
        <v>2478860000</v>
      </c>
      <c r="H1098">
        <f t="shared" si="17"/>
        <v>-3.468872800113644E-2</v>
      </c>
    </row>
    <row r="1099" spans="1:8" x14ac:dyDescent="0.3">
      <c r="A1099" s="5">
        <v>43599</v>
      </c>
      <c r="B1099" s="6">
        <v>7689.6601559999999</v>
      </c>
      <c r="C1099" s="6">
        <v>7776.2001950000003</v>
      </c>
      <c r="D1099" s="6">
        <v>7665.2998049999997</v>
      </c>
      <c r="E1099" s="6">
        <v>7734.4902339999999</v>
      </c>
      <c r="F1099" s="6">
        <v>7734.4902339999999</v>
      </c>
      <c r="G1099" s="4">
        <v>2084850000</v>
      </c>
      <c r="H1099">
        <f t="shared" si="17"/>
        <v>1.1373545960644823E-2</v>
      </c>
    </row>
    <row r="1100" spans="1:8" x14ac:dyDescent="0.3">
      <c r="A1100" s="5">
        <v>43600</v>
      </c>
      <c r="B1100" s="6">
        <v>7682.7998049999997</v>
      </c>
      <c r="C1100" s="6">
        <v>7838.7202150000003</v>
      </c>
      <c r="D1100" s="6">
        <v>7682.2402339999999</v>
      </c>
      <c r="E1100" s="6">
        <v>7822.1499020000001</v>
      </c>
      <c r="F1100" s="6">
        <v>7822.1499020000001</v>
      </c>
      <c r="G1100" s="4">
        <v>2001530000</v>
      </c>
      <c r="H1100">
        <f t="shared" si="17"/>
        <v>1.1269862262638651E-2</v>
      </c>
    </row>
    <row r="1101" spans="1:8" x14ac:dyDescent="0.3">
      <c r="A1101" s="5">
        <v>43601</v>
      </c>
      <c r="B1101" s="6">
        <v>7832.580078</v>
      </c>
      <c r="C1101" s="6">
        <v>7946.2299800000001</v>
      </c>
      <c r="D1101" s="6">
        <v>7826.669922</v>
      </c>
      <c r="E1101" s="6">
        <v>7898.0498049999997</v>
      </c>
      <c r="F1101" s="6">
        <v>7898.0498049999997</v>
      </c>
      <c r="G1101" s="4">
        <v>2163120000</v>
      </c>
      <c r="H1101">
        <f t="shared" si="17"/>
        <v>9.6564285693338386E-3</v>
      </c>
    </row>
    <row r="1102" spans="1:8" x14ac:dyDescent="0.3">
      <c r="A1102" s="5">
        <v>43602</v>
      </c>
      <c r="B1102" s="6">
        <v>7829.0297849999997</v>
      </c>
      <c r="C1102" s="6">
        <v>7918.7099609999996</v>
      </c>
      <c r="D1102" s="6">
        <v>7810.3500979999999</v>
      </c>
      <c r="E1102" s="6">
        <v>7816.2797849999997</v>
      </c>
      <c r="F1102" s="6">
        <v>7816.2797849999997</v>
      </c>
      <c r="G1102" s="4">
        <v>2134120000</v>
      </c>
      <c r="H1102">
        <f t="shared" si="17"/>
        <v>-1.0407158328419281E-2</v>
      </c>
    </row>
    <row r="1103" spans="1:8" x14ac:dyDescent="0.3">
      <c r="A1103" s="5">
        <v>43605</v>
      </c>
      <c r="B1103" s="6">
        <v>7714.0600590000004</v>
      </c>
      <c r="C1103" s="6">
        <v>7747.2700199999999</v>
      </c>
      <c r="D1103" s="6">
        <v>7678.3500979999999</v>
      </c>
      <c r="E1103" s="6">
        <v>7702.3798829999996</v>
      </c>
      <c r="F1103" s="6">
        <v>7702.3798829999996</v>
      </c>
      <c r="G1103" s="4">
        <v>2122410000</v>
      </c>
      <c r="H1103">
        <f t="shared" si="17"/>
        <v>-1.4679353723132926E-2</v>
      </c>
    </row>
    <row r="1104" spans="1:8" x14ac:dyDescent="0.3">
      <c r="A1104" s="5">
        <v>43606</v>
      </c>
      <c r="B1104" s="6">
        <v>7765.5698240000002</v>
      </c>
      <c r="C1104" s="6">
        <v>7804.4399409999996</v>
      </c>
      <c r="D1104" s="6">
        <v>7752.919922</v>
      </c>
      <c r="E1104" s="6">
        <v>7785.7202150000003</v>
      </c>
      <c r="F1104" s="6">
        <v>7785.7202150000003</v>
      </c>
      <c r="G1104" s="4">
        <v>1993210000</v>
      </c>
      <c r="H1104">
        <f t="shared" si="17"/>
        <v>1.0761957353363447E-2</v>
      </c>
    </row>
    <row r="1105" spans="1:8" x14ac:dyDescent="0.3">
      <c r="A1105" s="5">
        <v>43607</v>
      </c>
      <c r="B1105" s="6">
        <v>7749.7998049999997</v>
      </c>
      <c r="C1105" s="6">
        <v>7786.330078</v>
      </c>
      <c r="D1105" s="6">
        <v>7738.3500979999999</v>
      </c>
      <c r="E1105" s="6">
        <v>7750.8398440000001</v>
      </c>
      <c r="F1105" s="6">
        <v>7750.8398440000001</v>
      </c>
      <c r="G1105" s="4">
        <v>1881830000</v>
      </c>
      <c r="H1105">
        <f t="shared" si="17"/>
        <v>-4.4901097115062297E-3</v>
      </c>
    </row>
    <row r="1106" spans="1:8" x14ac:dyDescent="0.3">
      <c r="A1106" s="5">
        <v>43608</v>
      </c>
      <c r="B1106" s="6">
        <v>7660.7202150000003</v>
      </c>
      <c r="C1106" s="6">
        <v>7665.1499020000001</v>
      </c>
      <c r="D1106" s="6">
        <v>7585.3198240000002</v>
      </c>
      <c r="E1106" s="6">
        <v>7628.2797849999997</v>
      </c>
      <c r="F1106" s="6">
        <v>7628.2797849999997</v>
      </c>
      <c r="G1106" s="4">
        <v>2243420000</v>
      </c>
      <c r="H1106">
        <f t="shared" si="17"/>
        <v>-1.5938838712399178E-2</v>
      </c>
    </row>
    <row r="1107" spans="1:8" x14ac:dyDescent="0.3">
      <c r="A1107" s="5">
        <v>43609</v>
      </c>
      <c r="B1107" s="6">
        <v>7675.5698240000002</v>
      </c>
      <c r="C1107" s="6">
        <v>7694.1499020000001</v>
      </c>
      <c r="D1107" s="6">
        <v>7631.25</v>
      </c>
      <c r="E1107" s="6">
        <v>7637.0097660000001</v>
      </c>
      <c r="F1107" s="6">
        <v>7637.0097660000001</v>
      </c>
      <c r="G1107" s="4">
        <v>1682920000</v>
      </c>
      <c r="H1107">
        <f t="shared" si="17"/>
        <v>1.1437689304947382E-3</v>
      </c>
    </row>
    <row r="1108" spans="1:8" x14ac:dyDescent="0.3">
      <c r="A1108" s="5">
        <v>43613</v>
      </c>
      <c r="B1108" s="6">
        <v>7655.6601559999999</v>
      </c>
      <c r="C1108" s="6">
        <v>7693.7402339999999</v>
      </c>
      <c r="D1108" s="6">
        <v>7603.7597660000001</v>
      </c>
      <c r="E1108" s="6">
        <v>7607.3500979999999</v>
      </c>
      <c r="F1108" s="6">
        <v>7607.3500979999999</v>
      </c>
      <c r="G1108" s="4">
        <v>2352670000</v>
      </c>
      <c r="H1108">
        <f t="shared" si="17"/>
        <v>-3.8912365871005771E-3</v>
      </c>
    </row>
    <row r="1109" spans="1:8" x14ac:dyDescent="0.3">
      <c r="A1109" s="5">
        <v>43614</v>
      </c>
      <c r="B1109" s="6">
        <v>7553.0200199999999</v>
      </c>
      <c r="C1109" s="6">
        <v>7581.1098629999997</v>
      </c>
      <c r="D1109" s="6">
        <v>7503.9399409999996</v>
      </c>
      <c r="E1109" s="6">
        <v>7547.3100590000004</v>
      </c>
      <c r="F1109" s="6">
        <v>7547.3100590000004</v>
      </c>
      <c r="G1109" s="4">
        <v>2278790000</v>
      </c>
      <c r="H1109">
        <f t="shared" si="17"/>
        <v>-7.923681892014962E-3</v>
      </c>
    </row>
    <row r="1110" spans="1:8" x14ac:dyDescent="0.3">
      <c r="A1110" s="5">
        <v>43615</v>
      </c>
      <c r="B1110" s="6">
        <v>7565.4599609999996</v>
      </c>
      <c r="C1110" s="6">
        <v>7595.8999020000001</v>
      </c>
      <c r="D1110" s="6">
        <v>7527.6601559999999</v>
      </c>
      <c r="E1110" s="6">
        <v>7567.7202150000003</v>
      </c>
      <c r="F1110" s="6">
        <v>7567.7202150000003</v>
      </c>
      <c r="G1110" s="4">
        <v>1872000000</v>
      </c>
      <c r="H1110">
        <f t="shared" si="17"/>
        <v>2.700645388743162E-3</v>
      </c>
    </row>
    <row r="1111" spans="1:8" x14ac:dyDescent="0.3">
      <c r="A1111" s="5">
        <v>43616</v>
      </c>
      <c r="B1111" s="6">
        <v>7470.9501950000003</v>
      </c>
      <c r="C1111" s="6">
        <v>7506.8598629999997</v>
      </c>
      <c r="D1111" s="6">
        <v>7448.2299800000001</v>
      </c>
      <c r="E1111" s="6">
        <v>7453.1499020000001</v>
      </c>
      <c r="F1111" s="6">
        <v>7453.1499020000001</v>
      </c>
      <c r="G1111" s="4">
        <v>2236940000</v>
      </c>
      <c r="H1111">
        <f t="shared" si="17"/>
        <v>-1.5255112917510371E-2</v>
      </c>
    </row>
    <row r="1112" spans="1:8" x14ac:dyDescent="0.3">
      <c r="A1112" s="5">
        <v>43619</v>
      </c>
      <c r="B1112" s="6">
        <v>7441.2099609999996</v>
      </c>
      <c r="C1112" s="6">
        <v>7457.6601559999999</v>
      </c>
      <c r="D1112" s="6">
        <v>7292.2202150000003</v>
      </c>
      <c r="E1112" s="6">
        <v>7333.0200199999999</v>
      </c>
      <c r="F1112" s="6">
        <v>7333.0200199999999</v>
      </c>
      <c r="G1112" s="4">
        <v>2576920000</v>
      </c>
      <c r="H1112">
        <f t="shared" si="17"/>
        <v>-1.6249309439902451E-2</v>
      </c>
    </row>
    <row r="1113" spans="1:8" x14ac:dyDescent="0.3">
      <c r="A1113" s="5">
        <v>43620</v>
      </c>
      <c r="B1113" s="6">
        <v>7413.9399409999996</v>
      </c>
      <c r="C1113" s="6">
        <v>7529.5</v>
      </c>
      <c r="D1113" s="6">
        <v>7385.0200199999999</v>
      </c>
      <c r="E1113" s="6">
        <v>7527.1201170000004</v>
      </c>
      <c r="F1113" s="6">
        <v>7527.1201170000004</v>
      </c>
      <c r="G1113" s="4">
        <v>2369150000</v>
      </c>
      <c r="H1113">
        <f t="shared" si="17"/>
        <v>2.6125074843690432E-2</v>
      </c>
    </row>
    <row r="1114" spans="1:8" x14ac:dyDescent="0.3">
      <c r="A1114" s="5">
        <v>43621</v>
      </c>
      <c r="B1114" s="6">
        <v>7585.6801759999998</v>
      </c>
      <c r="C1114" s="6">
        <v>7589.4702150000003</v>
      </c>
      <c r="D1114" s="6">
        <v>7498.169922</v>
      </c>
      <c r="E1114" s="6">
        <v>7575.4799800000001</v>
      </c>
      <c r="F1114" s="6">
        <v>7575.4799800000001</v>
      </c>
      <c r="G1114" s="4">
        <v>2115570000</v>
      </c>
      <c r="H1114">
        <f t="shared" si="17"/>
        <v>6.4041990086854961E-3</v>
      </c>
    </row>
    <row r="1115" spans="1:8" x14ac:dyDescent="0.3">
      <c r="A1115" s="5">
        <v>43622</v>
      </c>
      <c r="B1115" s="6">
        <v>7582.2402339999999</v>
      </c>
      <c r="C1115" s="6">
        <v>7634.1201170000004</v>
      </c>
      <c r="D1115" s="6">
        <v>7546.2202150000003</v>
      </c>
      <c r="E1115" s="6">
        <v>7615.5498049999997</v>
      </c>
      <c r="F1115" s="6">
        <v>7615.5498049999997</v>
      </c>
      <c r="G1115" s="4">
        <v>2070940000</v>
      </c>
      <c r="H1115">
        <f t="shared" si="17"/>
        <v>5.2754709190427542E-3</v>
      </c>
    </row>
    <row r="1116" spans="1:8" x14ac:dyDescent="0.3">
      <c r="A1116" s="5">
        <v>43623</v>
      </c>
      <c r="B1116" s="6">
        <v>7652.9702150000003</v>
      </c>
      <c r="C1116" s="6">
        <v>7767.0200199999999</v>
      </c>
      <c r="D1116" s="6">
        <v>7647.9101559999999</v>
      </c>
      <c r="E1116" s="6">
        <v>7742.1000979999999</v>
      </c>
      <c r="F1116" s="6">
        <v>7742.1000979999999</v>
      </c>
      <c r="G1116" s="4">
        <v>2066020000</v>
      </c>
      <c r="H1116">
        <f t="shared" si="17"/>
        <v>1.6480797285680072E-2</v>
      </c>
    </row>
    <row r="1117" spans="1:8" x14ac:dyDescent="0.3">
      <c r="A1117" s="5">
        <v>43626</v>
      </c>
      <c r="B1117" s="6">
        <v>7798.8701170000004</v>
      </c>
      <c r="C1117" s="6">
        <v>7895.4399409999996</v>
      </c>
      <c r="D1117" s="6">
        <v>7795.7597660000001</v>
      </c>
      <c r="E1117" s="6">
        <v>7823.169922</v>
      </c>
      <c r="F1117" s="6">
        <v>7823.169922</v>
      </c>
      <c r="G1117" s="4">
        <v>2049370000</v>
      </c>
      <c r="H1117">
        <f t="shared" si="17"/>
        <v>1.0416852001132199E-2</v>
      </c>
    </row>
    <row r="1118" spans="1:8" x14ac:dyDescent="0.3">
      <c r="A1118" s="5">
        <v>43627</v>
      </c>
      <c r="B1118" s="6">
        <v>7901.0400390000004</v>
      </c>
      <c r="C1118" s="6">
        <v>7909.9902339999999</v>
      </c>
      <c r="D1118" s="6">
        <v>7798.6298829999996</v>
      </c>
      <c r="E1118" s="6">
        <v>7822.5698240000002</v>
      </c>
      <c r="F1118" s="6">
        <v>7822.5698240000002</v>
      </c>
      <c r="G1118" s="4">
        <v>2114680000</v>
      </c>
      <c r="H1118">
        <f t="shared" si="17"/>
        <v>-7.6710722539983318E-5</v>
      </c>
    </row>
    <row r="1119" spans="1:8" x14ac:dyDescent="0.3">
      <c r="A1119" s="5">
        <v>43628</v>
      </c>
      <c r="B1119" s="6">
        <v>7803.1298829999996</v>
      </c>
      <c r="C1119" s="6">
        <v>7819.1601559999999</v>
      </c>
      <c r="D1119" s="6">
        <v>7773.9702150000003</v>
      </c>
      <c r="E1119" s="6">
        <v>7792.7202150000003</v>
      </c>
      <c r="F1119" s="6">
        <v>7792.7202150000003</v>
      </c>
      <c r="G1119" s="4">
        <v>1952790000</v>
      </c>
      <c r="H1119">
        <f t="shared" si="17"/>
        <v>-3.8231304424158051E-3</v>
      </c>
    </row>
    <row r="1120" spans="1:8" x14ac:dyDescent="0.3">
      <c r="A1120" s="5">
        <v>43629</v>
      </c>
      <c r="B1120" s="6">
        <v>7822.5600590000004</v>
      </c>
      <c r="C1120" s="6">
        <v>7848.3598629999997</v>
      </c>
      <c r="D1120" s="6">
        <v>7813.6000979999999</v>
      </c>
      <c r="E1120" s="6">
        <v>7837.1298829999996</v>
      </c>
      <c r="F1120" s="6">
        <v>7837.1298829999996</v>
      </c>
      <c r="G1120" s="4">
        <v>1838930000</v>
      </c>
      <c r="H1120">
        <f t="shared" si="17"/>
        <v>5.68268885900069E-3</v>
      </c>
    </row>
    <row r="1121" spans="1:8" x14ac:dyDescent="0.3">
      <c r="A1121" s="5">
        <v>43630</v>
      </c>
      <c r="B1121" s="6">
        <v>7807.1899409999996</v>
      </c>
      <c r="C1121" s="6">
        <v>7819.2099609999996</v>
      </c>
      <c r="D1121" s="6">
        <v>7778.1201170000004</v>
      </c>
      <c r="E1121" s="6">
        <v>7796.6601559999999</v>
      </c>
      <c r="F1121" s="6">
        <v>7796.6601559999999</v>
      </c>
      <c r="G1121" s="4">
        <v>1804340000</v>
      </c>
      <c r="H1121">
        <f t="shared" si="17"/>
        <v>-5.1772241143959686E-3</v>
      </c>
    </row>
    <row r="1122" spans="1:8" x14ac:dyDescent="0.3">
      <c r="A1122" s="5">
        <v>43633</v>
      </c>
      <c r="B1122" s="6">
        <v>7819.4301759999998</v>
      </c>
      <c r="C1122" s="6">
        <v>7865.9799800000001</v>
      </c>
      <c r="D1122" s="6">
        <v>7812.6098629999997</v>
      </c>
      <c r="E1122" s="6">
        <v>7845.0200199999999</v>
      </c>
      <c r="F1122" s="6">
        <v>7845.0200199999999</v>
      </c>
      <c r="G1122" s="4">
        <v>1935290000</v>
      </c>
      <c r="H1122">
        <f t="shared" si="17"/>
        <v>6.1834812557407222E-3</v>
      </c>
    </row>
    <row r="1123" spans="1:8" x14ac:dyDescent="0.3">
      <c r="A1123" s="5">
        <v>43634</v>
      </c>
      <c r="B1123" s="6">
        <v>7920.9799800000001</v>
      </c>
      <c r="C1123" s="6">
        <v>8005.2099609999996</v>
      </c>
      <c r="D1123" s="6">
        <v>7911.669922</v>
      </c>
      <c r="E1123" s="6">
        <v>7953.8798829999996</v>
      </c>
      <c r="F1123" s="6">
        <v>7953.8798829999996</v>
      </c>
      <c r="G1123" s="4">
        <v>2244920000</v>
      </c>
      <c r="H1123">
        <f t="shared" si="17"/>
        <v>1.3780907087431868E-2</v>
      </c>
    </row>
    <row r="1124" spans="1:8" x14ac:dyDescent="0.3">
      <c r="A1124" s="5">
        <v>43635</v>
      </c>
      <c r="B1124" s="6">
        <v>7970.2597660000001</v>
      </c>
      <c r="C1124" s="6">
        <v>7998.5898440000001</v>
      </c>
      <c r="D1124" s="6">
        <v>7930.3798829999996</v>
      </c>
      <c r="E1124" s="6">
        <v>7987.3198240000002</v>
      </c>
      <c r="F1124" s="6">
        <v>7987.3198240000002</v>
      </c>
      <c r="G1124" s="4">
        <v>2014080000</v>
      </c>
      <c r="H1124">
        <f t="shared" si="17"/>
        <v>4.1954169904532814E-3</v>
      </c>
    </row>
    <row r="1125" spans="1:8" x14ac:dyDescent="0.3">
      <c r="A1125" s="5">
        <v>43636</v>
      </c>
      <c r="B1125" s="6">
        <v>8087.4501950000003</v>
      </c>
      <c r="C1125" s="6">
        <v>8088.8798829999996</v>
      </c>
      <c r="D1125" s="6">
        <v>7996.8701170000004</v>
      </c>
      <c r="E1125" s="6">
        <v>8051.3398440000001</v>
      </c>
      <c r="F1125" s="6">
        <v>8051.3398440000001</v>
      </c>
      <c r="G1125" s="4">
        <v>2053530000</v>
      </c>
      <c r="H1125">
        <f t="shared" si="17"/>
        <v>7.9832556257394029E-3</v>
      </c>
    </row>
    <row r="1126" spans="1:8" x14ac:dyDescent="0.3">
      <c r="A1126" s="5">
        <v>43637</v>
      </c>
      <c r="B1126" s="6">
        <v>8028.6899409999996</v>
      </c>
      <c r="C1126" s="6">
        <v>8073.0200199999999</v>
      </c>
      <c r="D1126" s="6">
        <v>8011.2001950000003</v>
      </c>
      <c r="E1126" s="6">
        <v>8031.7099609999996</v>
      </c>
      <c r="F1126" s="6">
        <v>8031.7099609999996</v>
      </c>
      <c r="G1126" s="4">
        <v>2894340000</v>
      </c>
      <c r="H1126">
        <f t="shared" si="17"/>
        <v>-2.441065965168816E-3</v>
      </c>
    </row>
    <row r="1127" spans="1:8" x14ac:dyDescent="0.3">
      <c r="A1127" s="5">
        <v>43640</v>
      </c>
      <c r="B1127" s="6">
        <v>8040.580078</v>
      </c>
      <c r="C1127" s="6">
        <v>8047.5600590000004</v>
      </c>
      <c r="D1127" s="6">
        <v>8004.6298829999996</v>
      </c>
      <c r="E1127" s="6">
        <v>8005.7001950000003</v>
      </c>
      <c r="F1127" s="6">
        <v>8005.7001950000003</v>
      </c>
      <c r="G1127" s="4">
        <v>2070370000</v>
      </c>
      <c r="H1127">
        <f t="shared" si="17"/>
        <v>-3.2436395342492191E-3</v>
      </c>
    </row>
    <row r="1128" spans="1:8" x14ac:dyDescent="0.3">
      <c r="A1128" s="5">
        <v>43641</v>
      </c>
      <c r="B1128" s="6">
        <v>8005.2700199999999</v>
      </c>
      <c r="C1128" s="6">
        <v>8007.3100590000004</v>
      </c>
      <c r="D1128" s="6">
        <v>7879.1499020000001</v>
      </c>
      <c r="E1128" s="6">
        <v>7884.7202150000003</v>
      </c>
      <c r="F1128" s="6">
        <v>7884.7202150000003</v>
      </c>
      <c r="G1128" s="4">
        <v>2127310000</v>
      </c>
      <c r="H1128">
        <f t="shared" si="17"/>
        <v>-1.5227075740343198E-2</v>
      </c>
    </row>
    <row r="1129" spans="1:8" x14ac:dyDescent="0.3">
      <c r="A1129" s="5">
        <v>43642</v>
      </c>
      <c r="B1129" s="6">
        <v>7933.919922</v>
      </c>
      <c r="C1129" s="6">
        <v>7974.2797849999997</v>
      </c>
      <c r="D1129" s="6">
        <v>7903.0698240000002</v>
      </c>
      <c r="E1129" s="6">
        <v>7909.9702150000003</v>
      </c>
      <c r="F1129" s="6">
        <v>7909.9702150000003</v>
      </c>
      <c r="G1129" s="4">
        <v>2104750000</v>
      </c>
      <c r="H1129">
        <f t="shared" si="17"/>
        <v>3.1972796962307305E-3</v>
      </c>
    </row>
    <row r="1130" spans="1:8" x14ac:dyDescent="0.3">
      <c r="A1130" s="5">
        <v>43643</v>
      </c>
      <c r="B1130" s="6">
        <v>7939.3598629999997</v>
      </c>
      <c r="C1130" s="6">
        <v>7976.580078</v>
      </c>
      <c r="D1130" s="6">
        <v>7935.4702150000003</v>
      </c>
      <c r="E1130" s="6">
        <v>7967.7597660000001</v>
      </c>
      <c r="F1130" s="6">
        <v>7967.7597660000001</v>
      </c>
      <c r="G1130" s="4">
        <v>2023120000</v>
      </c>
      <c r="H1130">
        <f t="shared" si="17"/>
        <v>7.2793536926361955E-3</v>
      </c>
    </row>
    <row r="1131" spans="1:8" x14ac:dyDescent="0.3">
      <c r="A1131" s="5">
        <v>43644</v>
      </c>
      <c r="B1131" s="6">
        <v>7988.7597660000001</v>
      </c>
      <c r="C1131" s="6">
        <v>8010.1499020000001</v>
      </c>
      <c r="D1131" s="6">
        <v>7961.4599609999996</v>
      </c>
      <c r="E1131" s="6">
        <v>8006.2402339999999</v>
      </c>
      <c r="F1131" s="6">
        <v>8006.2402339999999</v>
      </c>
      <c r="G1131" s="4">
        <v>4078990000</v>
      </c>
      <c r="H1131">
        <f t="shared" si="17"/>
        <v>4.8178968867461204E-3</v>
      </c>
    </row>
    <row r="1132" spans="1:8" x14ac:dyDescent="0.3">
      <c r="A1132" s="5">
        <v>43647</v>
      </c>
      <c r="B1132" s="6">
        <v>8145.8500979999999</v>
      </c>
      <c r="C1132" s="6">
        <v>8150.4501950000003</v>
      </c>
      <c r="D1132" s="6">
        <v>8059.2900390000004</v>
      </c>
      <c r="E1132" s="6">
        <v>8091.1601559999999</v>
      </c>
      <c r="F1132" s="6">
        <v>8091.1601559999999</v>
      </c>
      <c r="G1132" s="4">
        <v>2208900000</v>
      </c>
      <c r="H1132">
        <f t="shared" si="17"/>
        <v>1.0550860104056809E-2</v>
      </c>
    </row>
    <row r="1133" spans="1:8" x14ac:dyDescent="0.3">
      <c r="A1133" s="5">
        <v>43648</v>
      </c>
      <c r="B1133" s="6">
        <v>8086.6499020000001</v>
      </c>
      <c r="C1133" s="6">
        <v>8109.3701170000004</v>
      </c>
      <c r="D1133" s="6">
        <v>8063.1098629999997</v>
      </c>
      <c r="E1133" s="6">
        <v>8109.0898440000001</v>
      </c>
      <c r="F1133" s="6">
        <v>8109.0898440000001</v>
      </c>
      <c r="G1133" s="4">
        <v>1946320000</v>
      </c>
      <c r="H1133">
        <f t="shared" si="17"/>
        <v>2.2135084731064064E-3</v>
      </c>
    </row>
    <row r="1134" spans="1:8" x14ac:dyDescent="0.3">
      <c r="A1134" s="5">
        <v>43649</v>
      </c>
      <c r="B1134" s="6">
        <v>8129.5698240000002</v>
      </c>
      <c r="C1134" s="6">
        <v>8170.2299800000001</v>
      </c>
      <c r="D1134" s="6">
        <v>8122.3398440000001</v>
      </c>
      <c r="E1134" s="6">
        <v>8170.2299800000001</v>
      </c>
      <c r="F1134" s="6">
        <v>8170.2299800000001</v>
      </c>
      <c r="G1134" s="4">
        <v>1548190000</v>
      </c>
      <c r="H1134">
        <f t="shared" si="17"/>
        <v>7.5114223602390506E-3</v>
      </c>
    </row>
    <row r="1135" spans="1:8" x14ac:dyDescent="0.3">
      <c r="A1135" s="5">
        <v>43651</v>
      </c>
      <c r="B1135" s="6">
        <v>8123.2797849999997</v>
      </c>
      <c r="C1135" s="6">
        <v>8171.9702150000003</v>
      </c>
      <c r="D1135" s="6">
        <v>8093.6601559999999</v>
      </c>
      <c r="E1135" s="6">
        <v>8161.7900390000004</v>
      </c>
      <c r="F1135" s="6">
        <v>8161.7900390000004</v>
      </c>
      <c r="G1135" s="4">
        <v>149410000</v>
      </c>
      <c r="H1135">
        <f t="shared" si="17"/>
        <v>-1.0335453595437562E-3</v>
      </c>
    </row>
    <row r="1136" spans="1:8" x14ac:dyDescent="0.3">
      <c r="A1136" s="5">
        <v>43654</v>
      </c>
      <c r="B1136" s="6">
        <v>8112.9101559999999</v>
      </c>
      <c r="C1136" s="6">
        <v>8161.7900390000004</v>
      </c>
      <c r="D1136" s="6">
        <v>8078.3901370000003</v>
      </c>
      <c r="E1136" s="6">
        <v>8098.3798829999996</v>
      </c>
      <c r="F1136" s="6">
        <v>8098.3798829999996</v>
      </c>
      <c r="G1136" s="4">
        <v>177320000</v>
      </c>
      <c r="H1136">
        <f t="shared" si="17"/>
        <v>-7.7994852145963443E-3</v>
      </c>
    </row>
    <row r="1137" spans="1:8" x14ac:dyDescent="0.3">
      <c r="A1137" s="5">
        <v>43655</v>
      </c>
      <c r="B1137" s="6">
        <v>8061.4101559999999</v>
      </c>
      <c r="C1137" s="6">
        <v>8146.9799800000001</v>
      </c>
      <c r="D1137" s="6">
        <v>8061.3198240000002</v>
      </c>
      <c r="E1137" s="6">
        <v>8141.7299800000001</v>
      </c>
      <c r="F1137" s="6">
        <v>8141.7299800000001</v>
      </c>
      <c r="G1137" s="4">
        <v>1866770000</v>
      </c>
      <c r="H1137">
        <f t="shared" si="17"/>
        <v>5.338658460654855E-3</v>
      </c>
    </row>
    <row r="1138" spans="1:8" x14ac:dyDescent="0.3">
      <c r="A1138" s="5">
        <v>43656</v>
      </c>
      <c r="B1138" s="6">
        <v>8183.1899409999996</v>
      </c>
      <c r="C1138" s="6">
        <v>8228.5996090000008</v>
      </c>
      <c r="D1138" s="6">
        <v>8160.5600590000004</v>
      </c>
      <c r="E1138" s="6">
        <v>8202.5302730000003</v>
      </c>
      <c r="F1138" s="6">
        <v>8202.5302730000003</v>
      </c>
      <c r="G1138" s="4">
        <v>2060510000</v>
      </c>
      <c r="H1138">
        <f t="shared" si="17"/>
        <v>7.4399908613158186E-3</v>
      </c>
    </row>
    <row r="1139" spans="1:8" x14ac:dyDescent="0.3">
      <c r="A1139" s="5">
        <v>43657</v>
      </c>
      <c r="B1139" s="6">
        <v>8219.2802730000003</v>
      </c>
      <c r="C1139" s="6">
        <v>8226.1796880000002</v>
      </c>
      <c r="D1139" s="6">
        <v>8171.6298829999996</v>
      </c>
      <c r="E1139" s="6">
        <v>8196.0400389999995</v>
      </c>
      <c r="F1139" s="6">
        <v>8196.0400389999995</v>
      </c>
      <c r="G1139" s="4">
        <v>1966970000</v>
      </c>
      <c r="H1139">
        <f t="shared" si="17"/>
        <v>-7.9156099774541023E-4</v>
      </c>
    </row>
    <row r="1140" spans="1:8" x14ac:dyDescent="0.3">
      <c r="A1140" s="5">
        <v>43658</v>
      </c>
      <c r="B1140" s="6">
        <v>8209.2001949999994</v>
      </c>
      <c r="C1140" s="6">
        <v>8245.6601559999999</v>
      </c>
      <c r="D1140" s="6">
        <v>8201.5195309999999</v>
      </c>
      <c r="E1140" s="6">
        <v>8244.1396480000003</v>
      </c>
      <c r="F1140" s="6">
        <v>8244.1396480000003</v>
      </c>
      <c r="G1140" s="4">
        <v>1824870000</v>
      </c>
      <c r="H1140">
        <f t="shared" si="17"/>
        <v>5.851486681956332E-3</v>
      </c>
    </row>
    <row r="1141" spans="1:8" x14ac:dyDescent="0.3">
      <c r="A1141" s="5">
        <v>43661</v>
      </c>
      <c r="B1141" s="6">
        <v>8263.1796880000002</v>
      </c>
      <c r="C1141" s="6">
        <v>8264.7802730000003</v>
      </c>
      <c r="D1141" s="6">
        <v>8236.2695309999999</v>
      </c>
      <c r="E1141" s="6">
        <v>8258.1904300000006</v>
      </c>
      <c r="F1141" s="6">
        <v>8258.1904300000006</v>
      </c>
      <c r="G1141" s="4">
        <v>1783980000</v>
      </c>
      <c r="H1141">
        <f t="shared" si="17"/>
        <v>1.7028850264150285E-3</v>
      </c>
    </row>
    <row r="1142" spans="1:8" x14ac:dyDescent="0.3">
      <c r="A1142" s="5">
        <v>43662</v>
      </c>
      <c r="B1142" s="6">
        <v>8251.6601559999999</v>
      </c>
      <c r="C1142" s="6">
        <v>8259.75</v>
      </c>
      <c r="D1142" s="6">
        <v>8204.2304690000001</v>
      </c>
      <c r="E1142" s="6">
        <v>8222.7998050000006</v>
      </c>
      <c r="F1142" s="6">
        <v>8222.7998050000006</v>
      </c>
      <c r="G1142" s="4">
        <v>1933960000</v>
      </c>
      <c r="H1142">
        <f t="shared" si="17"/>
        <v>-4.2947273061577831E-3</v>
      </c>
    </row>
    <row r="1143" spans="1:8" x14ac:dyDescent="0.3">
      <c r="A1143" s="5">
        <v>43663</v>
      </c>
      <c r="B1143" s="6">
        <v>8224</v>
      </c>
      <c r="C1143" s="6">
        <v>8230.6699219999991</v>
      </c>
      <c r="D1143" s="6">
        <v>8184.6601559999999</v>
      </c>
      <c r="E1143" s="6">
        <v>8185.2099609999996</v>
      </c>
      <c r="F1143" s="6">
        <v>8185.2099609999996</v>
      </c>
      <c r="G1143" s="4">
        <v>1846960000</v>
      </c>
      <c r="H1143">
        <f t="shared" si="17"/>
        <v>-4.5818975364860072E-3</v>
      </c>
    </row>
    <row r="1144" spans="1:8" x14ac:dyDescent="0.3">
      <c r="A1144" s="5">
        <v>43664</v>
      </c>
      <c r="B1144" s="6">
        <v>8151.7597660000001</v>
      </c>
      <c r="C1144" s="6">
        <v>8215.5800780000009</v>
      </c>
      <c r="D1144" s="6">
        <v>8135.1201170000004</v>
      </c>
      <c r="E1144" s="6">
        <v>8207.2402340000008</v>
      </c>
      <c r="F1144" s="6">
        <v>8207.2402340000008</v>
      </c>
      <c r="G1144" s="4">
        <v>2016310000</v>
      </c>
      <c r="H1144">
        <f t="shared" si="17"/>
        <v>2.6878576419291696E-3</v>
      </c>
    </row>
    <row r="1145" spans="1:8" x14ac:dyDescent="0.3">
      <c r="A1145" s="5">
        <v>43665</v>
      </c>
      <c r="B1145" s="6">
        <v>8241.3398440000001</v>
      </c>
      <c r="C1145" s="6">
        <v>8245.7802730000003</v>
      </c>
      <c r="D1145" s="6">
        <v>8144.6298829999996</v>
      </c>
      <c r="E1145" s="6">
        <v>8146.4902339999999</v>
      </c>
      <c r="F1145" s="6">
        <v>8146.4902339999999</v>
      </c>
      <c r="G1145" s="4">
        <v>1878730000</v>
      </c>
      <c r="H1145">
        <f t="shared" si="17"/>
        <v>-7.4295316971493396E-3</v>
      </c>
    </row>
    <row r="1146" spans="1:8" x14ac:dyDescent="0.3">
      <c r="A1146" s="5">
        <v>43668</v>
      </c>
      <c r="B1146" s="6">
        <v>8171.9902339999999</v>
      </c>
      <c r="C1146" s="6">
        <v>8218.4199219999991</v>
      </c>
      <c r="D1146" s="6">
        <v>8171.5400390000004</v>
      </c>
      <c r="E1146" s="6">
        <v>8204.1396480000003</v>
      </c>
      <c r="F1146" s="6">
        <v>8204.1396480000003</v>
      </c>
      <c r="G1146" s="4">
        <v>1845770000</v>
      </c>
      <c r="H1146">
        <f t="shared" si="17"/>
        <v>7.0516736426547355E-3</v>
      </c>
    </row>
    <row r="1147" spans="1:8" x14ac:dyDescent="0.3">
      <c r="A1147" s="5">
        <v>43669</v>
      </c>
      <c r="B1147" s="6">
        <v>8242.5</v>
      </c>
      <c r="C1147" s="6">
        <v>8251.8300780000009</v>
      </c>
      <c r="D1147" s="6">
        <v>8193.8896480000003</v>
      </c>
      <c r="E1147" s="6">
        <v>8251.4003909999992</v>
      </c>
      <c r="F1147" s="6">
        <v>8251.4003909999992</v>
      </c>
      <c r="G1147" s="4">
        <v>1832220000</v>
      </c>
      <c r="H1147">
        <f t="shared" si="17"/>
        <v>5.7440682995020618E-3</v>
      </c>
    </row>
    <row r="1148" spans="1:8" x14ac:dyDescent="0.3">
      <c r="A1148" s="5">
        <v>43670</v>
      </c>
      <c r="B1148" s="6">
        <v>8227.3603519999997</v>
      </c>
      <c r="C1148" s="6">
        <v>8321.8095699999994</v>
      </c>
      <c r="D1148" s="6">
        <v>8226.5</v>
      </c>
      <c r="E1148" s="6">
        <v>8321.5</v>
      </c>
      <c r="F1148" s="6">
        <v>8321.5</v>
      </c>
      <c r="G1148" s="4">
        <v>1947550000</v>
      </c>
      <c r="H1148">
        <f t="shared" si="17"/>
        <v>8.4595967393626126E-3</v>
      </c>
    </row>
    <row r="1149" spans="1:8" x14ac:dyDescent="0.3">
      <c r="A1149" s="5">
        <v>43671</v>
      </c>
      <c r="B1149" s="6">
        <v>8294.6796880000002</v>
      </c>
      <c r="C1149" s="6">
        <v>8295.9501949999994</v>
      </c>
      <c r="D1149" s="6">
        <v>8233.4003909999992</v>
      </c>
      <c r="E1149" s="6">
        <v>8238.5400389999995</v>
      </c>
      <c r="F1149" s="6">
        <v>8238.5400389999995</v>
      </c>
      <c r="G1149" s="4">
        <v>2023130000</v>
      </c>
      <c r="H1149">
        <f t="shared" si="17"/>
        <v>-1.0019378554456681E-2</v>
      </c>
    </row>
    <row r="1150" spans="1:8" x14ac:dyDescent="0.3">
      <c r="A1150" s="5">
        <v>43672</v>
      </c>
      <c r="B1150" s="6">
        <v>8294.2998050000006</v>
      </c>
      <c r="C1150" s="6">
        <v>8339.6396480000003</v>
      </c>
      <c r="D1150" s="6">
        <v>8291.1201170000004</v>
      </c>
      <c r="E1150" s="6">
        <v>8330.2099610000005</v>
      </c>
      <c r="F1150" s="6">
        <v>8330.2099610000005</v>
      </c>
      <c r="G1150" s="4">
        <v>1954350000</v>
      </c>
      <c r="H1150">
        <f t="shared" si="17"/>
        <v>1.1065512773073955E-2</v>
      </c>
    </row>
    <row r="1151" spans="1:8" x14ac:dyDescent="0.3">
      <c r="A1151" s="5">
        <v>43675</v>
      </c>
      <c r="B1151" s="6">
        <v>8325.0996090000008</v>
      </c>
      <c r="C1151" s="6">
        <v>8325.2802730000003</v>
      </c>
      <c r="D1151" s="6">
        <v>8247.3701170000004</v>
      </c>
      <c r="E1151" s="6">
        <v>8293.3300780000009</v>
      </c>
      <c r="F1151" s="6">
        <v>8293.3300780000009</v>
      </c>
      <c r="G1151" s="4">
        <v>1874780000</v>
      </c>
      <c r="H1151">
        <f t="shared" si="17"/>
        <v>-4.4370745845850835E-3</v>
      </c>
    </row>
    <row r="1152" spans="1:8" x14ac:dyDescent="0.3">
      <c r="A1152" s="5">
        <v>43676</v>
      </c>
      <c r="B1152" s="6">
        <v>8231.7695309999999</v>
      </c>
      <c r="C1152" s="6">
        <v>8295.4599610000005</v>
      </c>
      <c r="D1152" s="6">
        <v>8228.0195309999999</v>
      </c>
      <c r="E1152" s="6">
        <v>8273.6103519999997</v>
      </c>
      <c r="F1152" s="6">
        <v>8273.6103519999997</v>
      </c>
      <c r="G1152" s="4">
        <v>1884300000</v>
      </c>
      <c r="H1152">
        <f t="shared" si="17"/>
        <v>-2.380612810975481E-3</v>
      </c>
    </row>
    <row r="1153" spans="1:8" x14ac:dyDescent="0.3">
      <c r="A1153" s="5">
        <v>43677</v>
      </c>
      <c r="B1153" s="6">
        <v>8290.7998050000006</v>
      </c>
      <c r="C1153" s="6">
        <v>8299.8300780000009</v>
      </c>
      <c r="D1153" s="6">
        <v>8110.0200199999999</v>
      </c>
      <c r="E1153" s="6">
        <v>8175.419922</v>
      </c>
      <c r="F1153" s="6">
        <v>8175.419922</v>
      </c>
      <c r="G1153" s="4">
        <v>2667060000</v>
      </c>
      <c r="H1153">
        <f t="shared" si="17"/>
        <v>-1.1938891798098138E-2</v>
      </c>
    </row>
    <row r="1154" spans="1:8" x14ac:dyDescent="0.3">
      <c r="A1154" s="5">
        <v>43678</v>
      </c>
      <c r="B1154" s="6">
        <v>8190.5600590000004</v>
      </c>
      <c r="C1154" s="6">
        <v>8311.0400389999995</v>
      </c>
      <c r="D1154" s="6">
        <v>8080.5200199999999</v>
      </c>
      <c r="E1154" s="6">
        <v>8111.1201170000004</v>
      </c>
      <c r="F1154" s="6">
        <v>8111.1201170000004</v>
      </c>
      <c r="G1154" s="4">
        <v>2792650000</v>
      </c>
      <c r="H1154">
        <f t="shared" si="17"/>
        <v>-7.8961079429789392E-3</v>
      </c>
    </row>
    <row r="1155" spans="1:8" x14ac:dyDescent="0.3">
      <c r="A1155" s="5">
        <v>43679</v>
      </c>
      <c r="B1155" s="6">
        <v>8056.419922</v>
      </c>
      <c r="C1155" s="6">
        <v>8068.7998049999997</v>
      </c>
      <c r="D1155" s="6">
        <v>7953.669922</v>
      </c>
      <c r="E1155" s="6">
        <v>8004.0698240000002</v>
      </c>
      <c r="F1155" s="6">
        <v>8004.0698240000002</v>
      </c>
      <c r="G1155" s="4">
        <v>2252550000</v>
      </c>
      <c r="H1155">
        <f t="shared" si="17"/>
        <v>-1.3285833805006649E-2</v>
      </c>
    </row>
    <row r="1156" spans="1:8" x14ac:dyDescent="0.3">
      <c r="A1156" s="5">
        <v>43682</v>
      </c>
      <c r="B1156" s="6">
        <v>7823.330078</v>
      </c>
      <c r="C1156" s="6">
        <v>7836.4501950000003</v>
      </c>
      <c r="D1156" s="6">
        <v>7662.8999020000001</v>
      </c>
      <c r="E1156" s="6">
        <v>7726.0400390000004</v>
      </c>
      <c r="F1156" s="6">
        <v>7726.0400390000004</v>
      </c>
      <c r="G1156" s="4">
        <v>2636740000</v>
      </c>
      <c r="H1156">
        <f t="shared" ref="H1156:H1219" si="18">LN(E1156/E1155)</f>
        <v>-3.5353693719741938E-2</v>
      </c>
    </row>
    <row r="1157" spans="1:8" x14ac:dyDescent="0.3">
      <c r="A1157" s="5">
        <v>43683</v>
      </c>
      <c r="B1157" s="6">
        <v>7804.5097660000001</v>
      </c>
      <c r="C1157" s="6">
        <v>7845.0097660000001</v>
      </c>
      <c r="D1157" s="6">
        <v>7739.5698240000002</v>
      </c>
      <c r="E1157" s="6">
        <v>7833.2700199999999</v>
      </c>
      <c r="F1157" s="6">
        <v>7833.2700199999999</v>
      </c>
      <c r="G1157" s="4">
        <v>2201610000</v>
      </c>
      <c r="H1157">
        <f t="shared" si="18"/>
        <v>1.3783603294272891E-2</v>
      </c>
    </row>
    <row r="1158" spans="1:8" x14ac:dyDescent="0.3">
      <c r="A1158" s="5">
        <v>43684</v>
      </c>
      <c r="B1158" s="6">
        <v>7747.2700199999999</v>
      </c>
      <c r="C1158" s="6">
        <v>7881.3798829999996</v>
      </c>
      <c r="D1158" s="6">
        <v>7702.419922</v>
      </c>
      <c r="E1158" s="6">
        <v>7862.830078</v>
      </c>
      <c r="F1158" s="6">
        <v>7862.830078</v>
      </c>
      <c r="G1158" s="4">
        <v>2453230000</v>
      </c>
      <c r="H1158">
        <f t="shared" si="18"/>
        <v>3.7665525528771267E-3</v>
      </c>
    </row>
    <row r="1159" spans="1:8" x14ac:dyDescent="0.3">
      <c r="A1159" s="5">
        <v>43685</v>
      </c>
      <c r="B1159" s="6">
        <v>7921.5898440000001</v>
      </c>
      <c r="C1159" s="6">
        <v>8041.1201170000004</v>
      </c>
      <c r="D1159" s="6">
        <v>7896.1499020000001</v>
      </c>
      <c r="E1159" s="6">
        <v>8039.1601559999999</v>
      </c>
      <c r="F1159" s="6">
        <v>8039.1601559999999</v>
      </c>
      <c r="G1159" s="4">
        <v>2415670000</v>
      </c>
      <c r="H1159">
        <f t="shared" si="18"/>
        <v>2.2178017076755808E-2</v>
      </c>
    </row>
    <row r="1160" spans="1:8" x14ac:dyDescent="0.3">
      <c r="A1160" s="5">
        <v>43686</v>
      </c>
      <c r="B1160" s="6">
        <v>7997.1899409999996</v>
      </c>
      <c r="C1160" s="6">
        <v>8020.5600590000004</v>
      </c>
      <c r="D1160" s="6">
        <v>7910.3500979999999</v>
      </c>
      <c r="E1160" s="6">
        <v>7959.1401370000003</v>
      </c>
      <c r="F1160" s="6">
        <v>7959.1401370000003</v>
      </c>
      <c r="G1160" s="4">
        <v>2224330000</v>
      </c>
      <c r="H1160">
        <f t="shared" si="18"/>
        <v>-1.0003648494342597E-2</v>
      </c>
    </row>
    <row r="1161" spans="1:8" x14ac:dyDescent="0.3">
      <c r="A1161" s="5">
        <v>43689</v>
      </c>
      <c r="B1161" s="6">
        <v>7907.4902339999999</v>
      </c>
      <c r="C1161" s="6">
        <v>7924.9902339999999</v>
      </c>
      <c r="D1161" s="6">
        <v>7833.7900390000004</v>
      </c>
      <c r="E1161" s="6">
        <v>7863.4101559999999</v>
      </c>
      <c r="F1161" s="6">
        <v>7863.4101559999999</v>
      </c>
      <c r="G1161" s="4">
        <v>2056360000</v>
      </c>
      <c r="H1161">
        <f t="shared" si="18"/>
        <v>-1.2100596594750464E-2</v>
      </c>
    </row>
    <row r="1162" spans="1:8" x14ac:dyDescent="0.3">
      <c r="A1162" s="5">
        <v>43690</v>
      </c>
      <c r="B1162" s="6">
        <v>7852.3701170000004</v>
      </c>
      <c r="C1162" s="6">
        <v>8065.2402339999999</v>
      </c>
      <c r="D1162" s="6">
        <v>7851.580078</v>
      </c>
      <c r="E1162" s="6">
        <v>8016.3598629999997</v>
      </c>
      <c r="F1162" s="6">
        <v>8016.3598629999997</v>
      </c>
      <c r="G1162" s="4">
        <v>2346980000</v>
      </c>
      <c r="H1162">
        <f t="shared" si="18"/>
        <v>1.9264061986978536E-2</v>
      </c>
    </row>
    <row r="1163" spans="1:8" x14ac:dyDescent="0.3">
      <c r="A1163" s="5">
        <v>43691</v>
      </c>
      <c r="B1163" s="6">
        <v>7877.330078</v>
      </c>
      <c r="C1163" s="6">
        <v>7900.2797849999997</v>
      </c>
      <c r="D1163" s="6">
        <v>7762.8701170000004</v>
      </c>
      <c r="E1163" s="6">
        <v>7773.9399409999996</v>
      </c>
      <c r="F1163" s="6">
        <v>7773.9399409999996</v>
      </c>
      <c r="G1163" s="4">
        <v>2522870000</v>
      </c>
      <c r="H1163">
        <f t="shared" si="18"/>
        <v>-3.0707329647352573E-2</v>
      </c>
    </row>
    <row r="1164" spans="1:8" x14ac:dyDescent="0.3">
      <c r="A1164" s="5">
        <v>43692</v>
      </c>
      <c r="B1164" s="6">
        <v>7790.2001950000003</v>
      </c>
      <c r="C1164" s="6">
        <v>7805.9301759999998</v>
      </c>
      <c r="D1164" s="6">
        <v>7716.5498049999997</v>
      </c>
      <c r="E1164" s="6">
        <v>7766.6201170000004</v>
      </c>
      <c r="F1164" s="6">
        <v>7766.6201170000004</v>
      </c>
      <c r="G1164" s="4">
        <v>2182590000</v>
      </c>
      <c r="H1164">
        <f t="shared" si="18"/>
        <v>-9.420284100434325E-4</v>
      </c>
    </row>
    <row r="1165" spans="1:8" x14ac:dyDescent="0.3">
      <c r="A1165" s="5">
        <v>43693</v>
      </c>
      <c r="B1165" s="6">
        <v>7828.3500979999999</v>
      </c>
      <c r="C1165" s="6">
        <v>7907.5200199999999</v>
      </c>
      <c r="D1165" s="6">
        <v>7828.3500979999999</v>
      </c>
      <c r="E1165" s="6">
        <v>7895.9902339999999</v>
      </c>
      <c r="F1165" s="6">
        <v>7895.9902339999999</v>
      </c>
      <c r="G1165" s="4">
        <v>1995130000</v>
      </c>
      <c r="H1165">
        <f t="shared" si="18"/>
        <v>1.6519986935370864E-2</v>
      </c>
    </row>
    <row r="1166" spans="1:8" x14ac:dyDescent="0.3">
      <c r="A1166" s="5">
        <v>43696</v>
      </c>
      <c r="B1166" s="6">
        <v>8006.1801759999998</v>
      </c>
      <c r="C1166" s="6">
        <v>8026.75</v>
      </c>
      <c r="D1166" s="6">
        <v>7895.9902339999999</v>
      </c>
      <c r="E1166" s="6">
        <v>8002.8100590000004</v>
      </c>
      <c r="F1166" s="6">
        <v>8002.8100590000004</v>
      </c>
      <c r="G1166" s="4">
        <v>1934980000</v>
      </c>
      <c r="H1166">
        <f t="shared" si="18"/>
        <v>1.3437672076765203E-2</v>
      </c>
    </row>
    <row r="1167" spans="1:8" x14ac:dyDescent="0.3">
      <c r="A1167" s="5">
        <v>43697</v>
      </c>
      <c r="B1167" s="6">
        <v>7989.3598629999997</v>
      </c>
      <c r="C1167" s="6">
        <v>8010.580078</v>
      </c>
      <c r="D1167" s="6">
        <v>7948.0898440000001</v>
      </c>
      <c r="E1167" s="6">
        <v>7948.5600590000004</v>
      </c>
      <c r="F1167" s="6">
        <v>7948.5600590000004</v>
      </c>
      <c r="G1167" s="4">
        <v>1747580000</v>
      </c>
      <c r="H1167">
        <f t="shared" si="18"/>
        <v>-6.8019497713052912E-3</v>
      </c>
    </row>
    <row r="1168" spans="1:8" x14ac:dyDescent="0.3">
      <c r="A1168" s="5">
        <v>43698</v>
      </c>
      <c r="B1168" s="6">
        <v>8017.0698240000002</v>
      </c>
      <c r="C1168" s="6">
        <v>8036.9399409999996</v>
      </c>
      <c r="D1168" s="6">
        <v>7998.5</v>
      </c>
      <c r="E1168" s="6">
        <v>8020.2099609999996</v>
      </c>
      <c r="F1168" s="6">
        <v>8020.2099609999996</v>
      </c>
      <c r="G1168" s="4">
        <v>1716370000</v>
      </c>
      <c r="H1168">
        <f t="shared" si="18"/>
        <v>8.9738136044504695E-3</v>
      </c>
    </row>
    <row r="1169" spans="1:8" x14ac:dyDescent="0.3">
      <c r="A1169" s="5">
        <v>43699</v>
      </c>
      <c r="B1169" s="6">
        <v>8038.7900390000004</v>
      </c>
      <c r="C1169" s="6">
        <v>8048.580078</v>
      </c>
      <c r="D1169" s="6">
        <v>7937.1201170000004</v>
      </c>
      <c r="E1169" s="6">
        <v>7991.3901370000003</v>
      </c>
      <c r="F1169" s="6">
        <v>7991.3901370000003</v>
      </c>
      <c r="G1169" s="4">
        <v>1777630000</v>
      </c>
      <c r="H1169">
        <f t="shared" si="18"/>
        <v>-3.5998719611774446E-3</v>
      </c>
    </row>
    <row r="1170" spans="1:8" x14ac:dyDescent="0.3">
      <c r="A1170" s="5">
        <v>43700</v>
      </c>
      <c r="B1170" s="6">
        <v>7943.6499020000001</v>
      </c>
      <c r="C1170" s="6">
        <v>8005.3398440000001</v>
      </c>
      <c r="D1170" s="6">
        <v>7730.7700199999999</v>
      </c>
      <c r="E1170" s="6">
        <v>7751.7700199999999</v>
      </c>
      <c r="F1170" s="6">
        <v>7751.7700199999999</v>
      </c>
      <c r="G1170" s="4">
        <v>2207070000</v>
      </c>
      <c r="H1170">
        <f t="shared" si="18"/>
        <v>-3.0443522284651334E-2</v>
      </c>
    </row>
    <row r="1171" spans="1:8" x14ac:dyDescent="0.3">
      <c r="A1171" s="5">
        <v>43703</v>
      </c>
      <c r="B1171" s="6">
        <v>7829.580078</v>
      </c>
      <c r="C1171" s="6">
        <v>7856.0400390000004</v>
      </c>
      <c r="D1171" s="6">
        <v>7789.0498049999997</v>
      </c>
      <c r="E1171" s="6">
        <v>7853.7402339999999</v>
      </c>
      <c r="F1171" s="6">
        <v>7853.7402339999999</v>
      </c>
      <c r="G1171" s="4">
        <v>1688860000</v>
      </c>
      <c r="H1171">
        <f t="shared" si="18"/>
        <v>1.3068674286110684E-2</v>
      </c>
    </row>
    <row r="1172" spans="1:8" x14ac:dyDescent="0.3">
      <c r="A1172" s="5">
        <v>43704</v>
      </c>
      <c r="B1172" s="6">
        <v>7908.7797849999997</v>
      </c>
      <c r="C1172" s="6">
        <v>7916.830078</v>
      </c>
      <c r="D1172" s="6">
        <v>7795.1801759999998</v>
      </c>
      <c r="E1172" s="6">
        <v>7826.9501950000003</v>
      </c>
      <c r="F1172" s="6">
        <v>7826.9501950000003</v>
      </c>
      <c r="G1172" s="4">
        <v>1913760000</v>
      </c>
      <c r="H1172">
        <f t="shared" si="18"/>
        <v>-3.4169496792234248E-3</v>
      </c>
    </row>
    <row r="1173" spans="1:8" x14ac:dyDescent="0.3">
      <c r="A1173" s="5">
        <v>43705</v>
      </c>
      <c r="B1173" s="6">
        <v>7798.3500979999999</v>
      </c>
      <c r="C1173" s="6">
        <v>7866.8701170000004</v>
      </c>
      <c r="D1173" s="6">
        <v>7766.669922</v>
      </c>
      <c r="E1173" s="6">
        <v>7856.8798829999996</v>
      </c>
      <c r="F1173" s="6">
        <v>7856.8798829999996</v>
      </c>
      <c r="G1173" s="4">
        <v>1656930000</v>
      </c>
      <c r="H1173">
        <f t="shared" si="18"/>
        <v>3.8166346080695116E-3</v>
      </c>
    </row>
    <row r="1174" spans="1:8" x14ac:dyDescent="0.3">
      <c r="A1174" s="5">
        <v>43706</v>
      </c>
      <c r="B1174" s="6">
        <v>7945.7797849999997</v>
      </c>
      <c r="C1174" s="6">
        <v>7992.2900390000004</v>
      </c>
      <c r="D1174" s="6">
        <v>7925.830078</v>
      </c>
      <c r="E1174" s="6">
        <v>7973.3901370000003</v>
      </c>
      <c r="F1174" s="6">
        <v>7973.3901370000003</v>
      </c>
      <c r="G1174" s="4">
        <v>1700840000</v>
      </c>
      <c r="H1174">
        <f t="shared" si="18"/>
        <v>1.4720198413950079E-2</v>
      </c>
    </row>
    <row r="1175" spans="1:8" x14ac:dyDescent="0.3">
      <c r="A1175" s="5">
        <v>43707</v>
      </c>
      <c r="B1175" s="6">
        <v>8015.1601559999999</v>
      </c>
      <c r="C1175" s="6">
        <v>8017.9101559999999</v>
      </c>
      <c r="D1175" s="6">
        <v>7914.7402339999999</v>
      </c>
      <c r="E1175" s="6">
        <v>7962.8798829999996</v>
      </c>
      <c r="F1175" s="6">
        <v>7962.8798829999996</v>
      </c>
      <c r="G1175" s="4">
        <v>1665840000</v>
      </c>
      <c r="H1175">
        <f t="shared" si="18"/>
        <v>-1.3190358233979131E-3</v>
      </c>
    </row>
    <row r="1176" spans="1:8" x14ac:dyDescent="0.3">
      <c r="A1176" s="5">
        <v>43711</v>
      </c>
      <c r="B1176" s="6">
        <v>7906.4399409999996</v>
      </c>
      <c r="C1176" s="6">
        <v>7940.3701170000004</v>
      </c>
      <c r="D1176" s="6">
        <v>7847.3198240000002</v>
      </c>
      <c r="E1176" s="6">
        <v>7874.1601559999999</v>
      </c>
      <c r="F1176" s="6">
        <v>7874.1601559999999</v>
      </c>
      <c r="G1176" s="4">
        <v>1936210000</v>
      </c>
      <c r="H1176">
        <f t="shared" si="18"/>
        <v>-1.1204196603858569E-2</v>
      </c>
    </row>
    <row r="1177" spans="1:8" x14ac:dyDescent="0.3">
      <c r="A1177" s="5">
        <v>43712</v>
      </c>
      <c r="B1177" s="6">
        <v>7949.8100590000004</v>
      </c>
      <c r="C1177" s="6">
        <v>7981.4101559999999</v>
      </c>
      <c r="D1177" s="6">
        <v>7928.9399409999996</v>
      </c>
      <c r="E1177" s="6">
        <v>7976.8798829999996</v>
      </c>
      <c r="F1177" s="6">
        <v>7976.8798829999996</v>
      </c>
      <c r="G1177" s="4">
        <v>1891300000</v>
      </c>
      <c r="H1177">
        <f t="shared" si="18"/>
        <v>1.2960810731737486E-2</v>
      </c>
    </row>
    <row r="1178" spans="1:8" x14ac:dyDescent="0.3">
      <c r="A1178" s="5">
        <v>43713</v>
      </c>
      <c r="B1178" s="6">
        <v>8061.2900390000004</v>
      </c>
      <c r="C1178" s="6">
        <v>8134.419922</v>
      </c>
      <c r="D1178" s="6">
        <v>8061.2900390000004</v>
      </c>
      <c r="E1178" s="6">
        <v>8116.830078</v>
      </c>
      <c r="F1178" s="6">
        <v>8116.830078</v>
      </c>
      <c r="G1178" s="4">
        <v>2096300000</v>
      </c>
      <c r="H1178">
        <f t="shared" si="18"/>
        <v>1.7392350571857527E-2</v>
      </c>
    </row>
    <row r="1179" spans="1:8" x14ac:dyDescent="0.3">
      <c r="A1179" s="5">
        <v>43714</v>
      </c>
      <c r="B1179" s="6">
        <v>8125.580078</v>
      </c>
      <c r="C1179" s="6">
        <v>8134.3901370000003</v>
      </c>
      <c r="D1179" s="6">
        <v>8098.5200199999999</v>
      </c>
      <c r="E1179" s="6">
        <v>8103.0698240000002</v>
      </c>
      <c r="F1179" s="6">
        <v>8103.0698240000002</v>
      </c>
      <c r="G1179" s="4">
        <v>1876380000</v>
      </c>
      <c r="H1179">
        <f t="shared" si="18"/>
        <v>-1.6967129740952012E-3</v>
      </c>
    </row>
    <row r="1180" spans="1:8" x14ac:dyDescent="0.3">
      <c r="A1180" s="5">
        <v>43717</v>
      </c>
      <c r="B1180" s="6">
        <v>8130.9101559999999</v>
      </c>
      <c r="C1180" s="6">
        <v>8131.6601559999999</v>
      </c>
      <c r="D1180" s="6">
        <v>8052.3398440000001</v>
      </c>
      <c r="E1180" s="6">
        <v>8087.4399409999996</v>
      </c>
      <c r="F1180" s="6">
        <v>8087.4399409999996</v>
      </c>
      <c r="G1180" s="4">
        <v>2172240000</v>
      </c>
      <c r="H1180">
        <f t="shared" si="18"/>
        <v>-1.9307468488965732E-3</v>
      </c>
    </row>
    <row r="1181" spans="1:8" x14ac:dyDescent="0.3">
      <c r="A1181" s="5">
        <v>43718</v>
      </c>
      <c r="B1181" s="6">
        <v>8049.9799800000001</v>
      </c>
      <c r="C1181" s="6">
        <v>8086.5297849999997</v>
      </c>
      <c r="D1181" s="6">
        <v>8001.6801759999998</v>
      </c>
      <c r="E1181" s="6">
        <v>8084.1601559999999</v>
      </c>
      <c r="F1181" s="6">
        <v>8084.1601559999999</v>
      </c>
      <c r="G1181" s="4">
        <v>2362860000</v>
      </c>
      <c r="H1181">
        <f t="shared" si="18"/>
        <v>-4.0562282338113867E-4</v>
      </c>
    </row>
    <row r="1182" spans="1:8" x14ac:dyDescent="0.3">
      <c r="A1182" s="5">
        <v>43719</v>
      </c>
      <c r="B1182" s="6">
        <v>8091.6801759999998</v>
      </c>
      <c r="C1182" s="6">
        <v>8169.6801759999998</v>
      </c>
      <c r="D1182" s="6">
        <v>8081.5600590000004</v>
      </c>
      <c r="E1182" s="6">
        <v>8169.6801759999998</v>
      </c>
      <c r="F1182" s="6">
        <v>8169.6801759999998</v>
      </c>
      <c r="G1182" s="4">
        <v>2310440000</v>
      </c>
      <c r="H1182">
        <f t="shared" si="18"/>
        <v>1.0523151136654993E-2</v>
      </c>
    </row>
    <row r="1183" spans="1:8" x14ac:dyDescent="0.3">
      <c r="A1183" s="5">
        <v>43720</v>
      </c>
      <c r="B1183" s="6">
        <v>8206.5800780000009</v>
      </c>
      <c r="C1183" s="6">
        <v>8243.7998050000006</v>
      </c>
      <c r="D1183" s="6">
        <v>8176.7299800000001</v>
      </c>
      <c r="E1183" s="6">
        <v>8194.4697269999997</v>
      </c>
      <c r="F1183" s="6">
        <v>8194.4697269999997</v>
      </c>
      <c r="G1183" s="4">
        <v>2159260000</v>
      </c>
      <c r="H1183">
        <f t="shared" si="18"/>
        <v>3.0297412465132849E-3</v>
      </c>
    </row>
    <row r="1184" spans="1:8" x14ac:dyDescent="0.3">
      <c r="A1184" s="5">
        <v>43721</v>
      </c>
      <c r="B1184" s="6">
        <v>8190.5698240000002</v>
      </c>
      <c r="C1184" s="6">
        <v>8210.2001949999994</v>
      </c>
      <c r="D1184" s="6">
        <v>8165.4702150000003</v>
      </c>
      <c r="E1184" s="6">
        <v>8176.7099609999996</v>
      </c>
      <c r="F1184" s="6">
        <v>8176.7099609999996</v>
      </c>
      <c r="G1184" s="4">
        <v>1976770000</v>
      </c>
      <c r="H1184">
        <f t="shared" si="18"/>
        <v>-2.1696387560607411E-3</v>
      </c>
    </row>
    <row r="1185" spans="1:8" x14ac:dyDescent="0.3">
      <c r="A1185" s="5">
        <v>43724</v>
      </c>
      <c r="B1185" s="6">
        <v>8121.6401370000003</v>
      </c>
      <c r="C1185" s="6">
        <v>8165.330078</v>
      </c>
      <c r="D1185" s="6">
        <v>8121.25</v>
      </c>
      <c r="E1185" s="6">
        <v>8153.5400390000004</v>
      </c>
      <c r="F1185" s="6">
        <v>8153.5400390000004</v>
      </c>
      <c r="G1185" s="4">
        <v>1869220000</v>
      </c>
      <c r="H1185">
        <f t="shared" si="18"/>
        <v>-2.8376708926980375E-3</v>
      </c>
    </row>
    <row r="1186" spans="1:8" x14ac:dyDescent="0.3">
      <c r="A1186" s="5">
        <v>43725</v>
      </c>
      <c r="B1186" s="6">
        <v>8148.6499020000001</v>
      </c>
      <c r="C1186" s="6">
        <v>8188.2299800000001</v>
      </c>
      <c r="D1186" s="6">
        <v>8139.8198240000002</v>
      </c>
      <c r="E1186" s="6">
        <v>8186.0200199999999</v>
      </c>
      <c r="F1186" s="6">
        <v>8186.0200199999999</v>
      </c>
      <c r="G1186" s="4">
        <v>1850340000</v>
      </c>
      <c r="H1186">
        <f t="shared" si="18"/>
        <v>3.9756301471114818E-3</v>
      </c>
    </row>
    <row r="1187" spans="1:8" x14ac:dyDescent="0.3">
      <c r="A1187" s="5">
        <v>43726</v>
      </c>
      <c r="B1187" s="6">
        <v>8174.6201170000004</v>
      </c>
      <c r="C1187" s="6">
        <v>8179.8701170000004</v>
      </c>
      <c r="D1187" s="6">
        <v>8086.2202150000003</v>
      </c>
      <c r="E1187" s="6">
        <v>8177.3901370000003</v>
      </c>
      <c r="F1187" s="6">
        <v>8177.3901370000003</v>
      </c>
      <c r="G1187" s="4">
        <v>2034880000</v>
      </c>
      <c r="H1187">
        <f t="shared" si="18"/>
        <v>-1.0547781565459291E-3</v>
      </c>
    </row>
    <row r="1188" spans="1:8" x14ac:dyDescent="0.3">
      <c r="A1188" s="5">
        <v>43727</v>
      </c>
      <c r="B1188" s="6">
        <v>8193.5898440000001</v>
      </c>
      <c r="C1188" s="6">
        <v>8237.4296880000002</v>
      </c>
      <c r="D1188" s="6">
        <v>8174.3198240000002</v>
      </c>
      <c r="E1188" s="6">
        <v>8182.8798829999996</v>
      </c>
      <c r="F1188" s="6">
        <v>8182.8798829999996</v>
      </c>
      <c r="G1188" s="4">
        <v>1792700000</v>
      </c>
      <c r="H1188">
        <f t="shared" si="18"/>
        <v>6.711070415499654E-4</v>
      </c>
    </row>
    <row r="1189" spans="1:8" x14ac:dyDescent="0.3">
      <c r="A1189" s="5">
        <v>43728</v>
      </c>
      <c r="B1189" s="6">
        <v>8184.8798829999996</v>
      </c>
      <c r="C1189" s="6">
        <v>8202.8203130000002</v>
      </c>
      <c r="D1189" s="6">
        <v>8086.1601559999999</v>
      </c>
      <c r="E1189" s="6">
        <v>8117.669922</v>
      </c>
      <c r="F1189" s="6">
        <v>8117.669922</v>
      </c>
      <c r="G1189" s="4">
        <v>3359380000</v>
      </c>
      <c r="H1189">
        <f t="shared" si="18"/>
        <v>-8.0009950158372537E-3</v>
      </c>
    </row>
    <row r="1190" spans="1:8" x14ac:dyDescent="0.3">
      <c r="A1190" s="5">
        <v>43731</v>
      </c>
      <c r="B1190" s="6">
        <v>8106.4902339999999</v>
      </c>
      <c r="C1190" s="6">
        <v>8135.8100590000004</v>
      </c>
      <c r="D1190" s="6">
        <v>8085.3398440000001</v>
      </c>
      <c r="E1190" s="6">
        <v>8112.4599609999996</v>
      </c>
      <c r="F1190" s="6">
        <v>8112.4599609999996</v>
      </c>
      <c r="G1190" s="4">
        <v>1780160000</v>
      </c>
      <c r="H1190">
        <f t="shared" si="18"/>
        <v>-6.4201102720811039E-4</v>
      </c>
    </row>
    <row r="1191" spans="1:8" x14ac:dyDescent="0.3">
      <c r="A1191" s="5">
        <v>43732</v>
      </c>
      <c r="B1191" s="6">
        <v>8147.2299800000001</v>
      </c>
      <c r="C1191" s="6">
        <v>8158.830078</v>
      </c>
      <c r="D1191" s="6">
        <v>7969.6499020000001</v>
      </c>
      <c r="E1191" s="6">
        <v>7993.6298829999996</v>
      </c>
      <c r="F1191" s="6">
        <v>7993.6298829999996</v>
      </c>
      <c r="G1191" s="4">
        <v>2302600000</v>
      </c>
      <c r="H1191">
        <f t="shared" si="18"/>
        <v>-1.4756186680303481E-2</v>
      </c>
    </row>
    <row r="1192" spans="1:8" x14ac:dyDescent="0.3">
      <c r="A1192" s="5">
        <v>43733</v>
      </c>
      <c r="B1192" s="6">
        <v>7990.6601559999999</v>
      </c>
      <c r="C1192" s="6">
        <v>8095</v>
      </c>
      <c r="D1192" s="6">
        <v>7935.5698240000002</v>
      </c>
      <c r="E1192" s="6">
        <v>8077.3798829999996</v>
      </c>
      <c r="F1192" s="6">
        <v>8077.3798829999996</v>
      </c>
      <c r="G1192" s="4">
        <v>2015270000</v>
      </c>
      <c r="H1192">
        <f t="shared" si="18"/>
        <v>1.04225881717885E-2</v>
      </c>
    </row>
    <row r="1193" spans="1:8" x14ac:dyDescent="0.3">
      <c r="A1193" s="5">
        <v>43734</v>
      </c>
      <c r="B1193" s="6">
        <v>8070.1201170000004</v>
      </c>
      <c r="C1193" s="6">
        <v>8072.1098629999997</v>
      </c>
      <c r="D1193" s="6">
        <v>7991.0200199999999</v>
      </c>
      <c r="E1193" s="6">
        <v>8030.6601559999999</v>
      </c>
      <c r="F1193" s="6">
        <v>8030.6601559999999</v>
      </c>
      <c r="G1193" s="4">
        <v>1832800000</v>
      </c>
      <c r="H1193">
        <f t="shared" si="18"/>
        <v>-5.8008122520759068E-3</v>
      </c>
    </row>
    <row r="1194" spans="1:8" x14ac:dyDescent="0.3">
      <c r="A1194" s="5">
        <v>43735</v>
      </c>
      <c r="B1194" s="6">
        <v>8047.1098629999997</v>
      </c>
      <c r="C1194" s="6">
        <v>8051.830078</v>
      </c>
      <c r="D1194" s="6">
        <v>7890.2797849999997</v>
      </c>
      <c r="E1194" s="6">
        <v>7939.6298829999996</v>
      </c>
      <c r="F1194" s="6">
        <v>7939.6298829999996</v>
      </c>
      <c r="G1194" s="4">
        <v>2037720000</v>
      </c>
      <c r="H1194">
        <f t="shared" si="18"/>
        <v>-1.1400075846655018E-2</v>
      </c>
    </row>
    <row r="1195" spans="1:8" x14ac:dyDescent="0.3">
      <c r="A1195" s="5">
        <v>43738</v>
      </c>
      <c r="B1195" s="6">
        <v>7964.0898440000001</v>
      </c>
      <c r="C1195" s="6">
        <v>8012.1601559999999</v>
      </c>
      <c r="D1195" s="6">
        <v>7949.6298829999996</v>
      </c>
      <c r="E1195" s="6">
        <v>7999.3398440000001</v>
      </c>
      <c r="F1195" s="6">
        <v>7999.3398440000001</v>
      </c>
      <c r="G1195" s="4">
        <v>1805820000</v>
      </c>
      <c r="H1195">
        <f t="shared" si="18"/>
        <v>7.4923588340855586E-3</v>
      </c>
    </row>
    <row r="1196" spans="1:8" x14ac:dyDescent="0.3">
      <c r="A1196" s="5">
        <v>43739</v>
      </c>
      <c r="B1196" s="6">
        <v>8026.830078</v>
      </c>
      <c r="C1196" s="6">
        <v>8062.5</v>
      </c>
      <c r="D1196" s="6">
        <v>7906.2900390000004</v>
      </c>
      <c r="E1196" s="6">
        <v>7908.6801759999998</v>
      </c>
      <c r="F1196" s="6">
        <v>7908.6801759999998</v>
      </c>
      <c r="G1196" s="4">
        <v>2243650000</v>
      </c>
      <c r="H1196">
        <f t="shared" si="18"/>
        <v>-1.1398106037317562E-2</v>
      </c>
    </row>
    <row r="1197" spans="1:8" x14ac:dyDescent="0.3">
      <c r="A1197" s="5">
        <v>43740</v>
      </c>
      <c r="B1197" s="6">
        <v>7851.1298829999996</v>
      </c>
      <c r="C1197" s="6">
        <v>7852.7001950000003</v>
      </c>
      <c r="D1197" s="6">
        <v>7744.9599609999996</v>
      </c>
      <c r="E1197" s="6">
        <v>7785.25</v>
      </c>
      <c r="F1197" s="6">
        <v>7785.25</v>
      </c>
      <c r="G1197" s="4">
        <v>2495160000</v>
      </c>
      <c r="H1197">
        <f t="shared" si="18"/>
        <v>-1.5729994929354639E-2</v>
      </c>
    </row>
    <row r="1198" spans="1:8" x14ac:dyDescent="0.3">
      <c r="A1198" s="5">
        <v>43741</v>
      </c>
      <c r="B1198" s="6">
        <v>7787.0200199999999</v>
      </c>
      <c r="C1198" s="6">
        <v>7872.2597660000001</v>
      </c>
      <c r="D1198" s="6">
        <v>7700</v>
      </c>
      <c r="E1198" s="6">
        <v>7872.2597660000001</v>
      </c>
      <c r="F1198" s="6">
        <v>7872.2597660000001</v>
      </c>
      <c r="G1198" s="4">
        <v>2141490000</v>
      </c>
      <c r="H1198">
        <f t="shared" si="18"/>
        <v>1.111424012693853E-2</v>
      </c>
    </row>
    <row r="1199" spans="1:8" x14ac:dyDescent="0.3">
      <c r="A1199" s="5">
        <v>43742</v>
      </c>
      <c r="B1199" s="6">
        <v>7908.4399409999996</v>
      </c>
      <c r="C1199" s="6">
        <v>7986.6201170000004</v>
      </c>
      <c r="D1199" s="6">
        <v>7899.3901370000003</v>
      </c>
      <c r="E1199" s="6">
        <v>7982.4702150000003</v>
      </c>
      <c r="F1199" s="6">
        <v>7982.4702150000003</v>
      </c>
      <c r="G1199" s="4">
        <v>1736890000</v>
      </c>
      <c r="H1199">
        <f t="shared" si="18"/>
        <v>1.3902756377466956E-2</v>
      </c>
    </row>
    <row r="1200" spans="1:8" x14ac:dyDescent="0.3">
      <c r="A1200" s="5">
        <v>43745</v>
      </c>
      <c r="B1200" s="6">
        <v>7956.4101559999999</v>
      </c>
      <c r="C1200" s="6">
        <v>8013.3100590000004</v>
      </c>
      <c r="D1200" s="6">
        <v>7942.080078</v>
      </c>
      <c r="E1200" s="6">
        <v>7956.2900390000004</v>
      </c>
      <c r="F1200" s="6">
        <v>7956.2900390000004</v>
      </c>
      <c r="G1200" s="4">
        <v>1739450000</v>
      </c>
      <c r="H1200">
        <f t="shared" si="18"/>
        <v>-3.2850986058157059E-3</v>
      </c>
    </row>
    <row r="1201" spans="1:8" x14ac:dyDescent="0.3">
      <c r="A1201" s="5">
        <v>43746</v>
      </c>
      <c r="B1201" s="6">
        <v>7898.2700199999999</v>
      </c>
      <c r="C1201" s="6">
        <v>7921.8798829999996</v>
      </c>
      <c r="D1201" s="6">
        <v>7823.7299800000001</v>
      </c>
      <c r="E1201" s="6">
        <v>7823.7797849999997</v>
      </c>
      <c r="F1201" s="6">
        <v>7823.7797849999997</v>
      </c>
      <c r="G1201" s="4">
        <v>1933580000</v>
      </c>
      <c r="H1201">
        <f t="shared" si="18"/>
        <v>-1.6795029459381831E-2</v>
      </c>
    </row>
    <row r="1202" spans="1:8" x14ac:dyDescent="0.3">
      <c r="A1202" s="5">
        <v>43747</v>
      </c>
      <c r="B1202" s="6">
        <v>7895.9599609999996</v>
      </c>
      <c r="C1202" s="6">
        <v>7930.919922</v>
      </c>
      <c r="D1202" s="6">
        <v>7873.5200199999999</v>
      </c>
      <c r="E1202" s="6">
        <v>7903.7402339999999</v>
      </c>
      <c r="F1202" s="6">
        <v>7903.7402339999999</v>
      </c>
      <c r="G1202" s="4">
        <v>1553900000</v>
      </c>
      <c r="H1202">
        <f t="shared" si="18"/>
        <v>1.016830852646694E-2</v>
      </c>
    </row>
    <row r="1203" spans="1:8" x14ac:dyDescent="0.3">
      <c r="A1203" s="5">
        <v>43748</v>
      </c>
      <c r="B1203" s="6">
        <v>7904.5600590000004</v>
      </c>
      <c r="C1203" s="6">
        <v>7982.8398440000001</v>
      </c>
      <c r="D1203" s="6">
        <v>7899.8100590000004</v>
      </c>
      <c r="E1203" s="6">
        <v>7950.7797849999997</v>
      </c>
      <c r="F1203" s="6">
        <v>7950.7797849999997</v>
      </c>
      <c r="G1203" s="4">
        <v>1778740000</v>
      </c>
      <c r="H1203">
        <f t="shared" si="18"/>
        <v>5.9339152457119045E-3</v>
      </c>
    </row>
    <row r="1204" spans="1:8" x14ac:dyDescent="0.3">
      <c r="A1204" s="5">
        <v>43749</v>
      </c>
      <c r="B1204" s="6">
        <v>8047.3398440000001</v>
      </c>
      <c r="C1204" s="6">
        <v>8115.7998049999997</v>
      </c>
      <c r="D1204" s="6">
        <v>8046.7998049999997</v>
      </c>
      <c r="E1204" s="6">
        <v>8057.0400390000004</v>
      </c>
      <c r="F1204" s="6">
        <v>8057.0400390000004</v>
      </c>
      <c r="G1204" s="4">
        <v>2176080000</v>
      </c>
      <c r="H1204">
        <f t="shared" si="18"/>
        <v>1.3276238230625714E-2</v>
      </c>
    </row>
    <row r="1205" spans="1:8" x14ac:dyDescent="0.3">
      <c r="A1205" s="5">
        <v>43752</v>
      </c>
      <c r="B1205" s="6">
        <v>8044.3500979999999</v>
      </c>
      <c r="C1205" s="6">
        <v>8069.8500979999999</v>
      </c>
      <c r="D1205" s="6">
        <v>8036.4101559999999</v>
      </c>
      <c r="E1205" s="6">
        <v>8048.6499020000001</v>
      </c>
      <c r="F1205" s="6">
        <v>8048.6499020000001</v>
      </c>
      <c r="G1205" s="4">
        <v>1419730000</v>
      </c>
      <c r="H1205">
        <f t="shared" si="18"/>
        <v>-1.0418849226218828E-3</v>
      </c>
    </row>
    <row r="1206" spans="1:8" x14ac:dyDescent="0.3">
      <c r="A1206" s="5">
        <v>43753</v>
      </c>
      <c r="B1206" s="6">
        <v>8074.8500979999999</v>
      </c>
      <c r="C1206" s="6">
        <v>8166.1801759999998</v>
      </c>
      <c r="D1206" s="6">
        <v>8071.8100590000004</v>
      </c>
      <c r="E1206" s="6">
        <v>8148.7099609999996</v>
      </c>
      <c r="F1206" s="6">
        <v>8148.7099609999996</v>
      </c>
      <c r="G1206" s="4">
        <v>1836650000</v>
      </c>
      <c r="H1206">
        <f t="shared" si="18"/>
        <v>1.235526440256492E-2</v>
      </c>
    </row>
    <row r="1207" spans="1:8" x14ac:dyDescent="0.3">
      <c r="A1207" s="5">
        <v>43754</v>
      </c>
      <c r="B1207" s="6">
        <v>8119.8100590000004</v>
      </c>
      <c r="C1207" s="6">
        <v>8146.1499020000001</v>
      </c>
      <c r="D1207" s="6">
        <v>8103.3798829999996</v>
      </c>
      <c r="E1207" s="6">
        <v>8124.1801759999998</v>
      </c>
      <c r="F1207" s="6">
        <v>8124.1801759999998</v>
      </c>
      <c r="G1207" s="4">
        <v>1886720000</v>
      </c>
      <c r="H1207">
        <f t="shared" si="18"/>
        <v>-3.0148060206716112E-3</v>
      </c>
    </row>
    <row r="1208" spans="1:8" x14ac:dyDescent="0.3">
      <c r="A1208" s="5">
        <v>43755</v>
      </c>
      <c r="B1208" s="6">
        <v>8176.9101559999999</v>
      </c>
      <c r="C1208" s="6">
        <v>8183.6401370000003</v>
      </c>
      <c r="D1208" s="6">
        <v>8131.25</v>
      </c>
      <c r="E1208" s="6">
        <v>8156.8500979999999</v>
      </c>
      <c r="F1208" s="6">
        <v>8156.8500979999999</v>
      </c>
      <c r="G1208" s="4">
        <v>1861570000</v>
      </c>
      <c r="H1208">
        <f t="shared" si="18"/>
        <v>4.0132553406323187E-3</v>
      </c>
    </row>
    <row r="1209" spans="1:8" x14ac:dyDescent="0.3">
      <c r="A1209" s="5">
        <v>43756</v>
      </c>
      <c r="B1209" s="6">
        <v>8149.8500979999999</v>
      </c>
      <c r="C1209" s="6">
        <v>8157.3598629999997</v>
      </c>
      <c r="D1209" s="6">
        <v>8045.3701170000004</v>
      </c>
      <c r="E1209" s="6">
        <v>8089.5400390000004</v>
      </c>
      <c r="F1209" s="6">
        <v>8089.5400390000004</v>
      </c>
      <c r="G1209" s="4">
        <v>2012930000</v>
      </c>
      <c r="H1209">
        <f t="shared" si="18"/>
        <v>-8.2862030967115353E-3</v>
      </c>
    </row>
    <row r="1210" spans="1:8" x14ac:dyDescent="0.3">
      <c r="A1210" s="5">
        <v>43759</v>
      </c>
      <c r="B1210" s="6">
        <v>8137.419922</v>
      </c>
      <c r="C1210" s="6">
        <v>8164.1401370000003</v>
      </c>
      <c r="D1210" s="6">
        <v>8117.2597660000001</v>
      </c>
      <c r="E1210" s="6">
        <v>8162.9902339999999</v>
      </c>
      <c r="F1210" s="6">
        <v>8162.9902339999999</v>
      </c>
      <c r="G1210" s="4">
        <v>1752860000</v>
      </c>
      <c r="H1210">
        <f t="shared" si="18"/>
        <v>9.0386781411740079E-3</v>
      </c>
    </row>
    <row r="1211" spans="1:8" x14ac:dyDescent="0.3">
      <c r="A1211" s="5">
        <v>43760</v>
      </c>
      <c r="B1211" s="6">
        <v>8188.1201170000004</v>
      </c>
      <c r="C1211" s="6">
        <v>8194.6201170000004</v>
      </c>
      <c r="D1211" s="6">
        <v>8101.9799800000001</v>
      </c>
      <c r="E1211" s="6">
        <v>8104.2998049999997</v>
      </c>
      <c r="F1211" s="6">
        <v>8104.2998049999997</v>
      </c>
      <c r="G1211" s="4">
        <v>1847200000</v>
      </c>
      <c r="H1211">
        <f t="shared" si="18"/>
        <v>-7.2157911385474808E-3</v>
      </c>
    </row>
    <row r="1212" spans="1:8" x14ac:dyDescent="0.3">
      <c r="A1212" s="5">
        <v>43761</v>
      </c>
      <c r="B1212" s="6">
        <v>8090.2402339999999</v>
      </c>
      <c r="C1212" s="6">
        <v>8122.8798829999996</v>
      </c>
      <c r="D1212" s="6">
        <v>8078.3500979999999</v>
      </c>
      <c r="E1212" s="6">
        <v>8119.7900390000004</v>
      </c>
      <c r="F1212" s="6">
        <v>8119.7900390000004</v>
      </c>
      <c r="G1212" s="4">
        <v>1805030000</v>
      </c>
      <c r="H1212">
        <f t="shared" si="18"/>
        <v>1.9095356171981966E-3</v>
      </c>
    </row>
    <row r="1213" spans="1:8" x14ac:dyDescent="0.3">
      <c r="A1213" s="5">
        <v>43762</v>
      </c>
      <c r="B1213" s="6">
        <v>8180.0400390000004</v>
      </c>
      <c r="C1213" s="6">
        <v>8187.8398440000001</v>
      </c>
      <c r="D1213" s="6">
        <v>8137.6601559999999</v>
      </c>
      <c r="E1213" s="6">
        <v>8185.7998049999997</v>
      </c>
      <c r="F1213" s="6">
        <v>8185.7998049999997</v>
      </c>
      <c r="G1213" s="4">
        <v>1882490000</v>
      </c>
      <c r="H1213">
        <f t="shared" si="18"/>
        <v>8.0966254197340024E-3</v>
      </c>
    </row>
    <row r="1214" spans="1:8" x14ac:dyDescent="0.3">
      <c r="A1214" s="5">
        <v>43763</v>
      </c>
      <c r="B1214" s="6">
        <v>8150.5898440000001</v>
      </c>
      <c r="C1214" s="6">
        <v>8249.9697269999997</v>
      </c>
      <c r="D1214" s="6">
        <v>8150.5898440000001</v>
      </c>
      <c r="E1214" s="6">
        <v>8243.1201170000004</v>
      </c>
      <c r="F1214" s="6">
        <v>8243.1201170000004</v>
      </c>
      <c r="G1214" s="4">
        <v>1894740000</v>
      </c>
      <c r="H1214">
        <f t="shared" si="18"/>
        <v>6.9780052323991865E-3</v>
      </c>
    </row>
    <row r="1215" spans="1:8" x14ac:dyDescent="0.3">
      <c r="A1215" s="5">
        <v>43766</v>
      </c>
      <c r="B1215" s="6">
        <v>8285.7695309999999</v>
      </c>
      <c r="C1215" s="6">
        <v>8335.5595699999994</v>
      </c>
      <c r="D1215" s="6">
        <v>8285.2695309999999</v>
      </c>
      <c r="E1215" s="6">
        <v>8325.9902340000008</v>
      </c>
      <c r="F1215" s="6">
        <v>8325.9902340000008</v>
      </c>
      <c r="G1215" s="4">
        <v>1956280000</v>
      </c>
      <c r="H1215">
        <f t="shared" si="18"/>
        <v>1.0003048594492721E-2</v>
      </c>
    </row>
    <row r="1216" spans="1:8" x14ac:dyDescent="0.3">
      <c r="A1216" s="5">
        <v>43767</v>
      </c>
      <c r="B1216" s="6">
        <v>8313.3496090000008</v>
      </c>
      <c r="C1216" s="6">
        <v>8319.2900389999995</v>
      </c>
      <c r="D1216" s="6">
        <v>8275.1396480000003</v>
      </c>
      <c r="E1216" s="6">
        <v>8276.8496090000008</v>
      </c>
      <c r="F1216" s="6">
        <v>8276.8496090000008</v>
      </c>
      <c r="G1216" s="4">
        <v>1834530000</v>
      </c>
      <c r="H1216">
        <f t="shared" si="18"/>
        <v>-5.9195618292040694E-3</v>
      </c>
    </row>
    <row r="1217" spans="1:8" x14ac:dyDescent="0.3">
      <c r="A1217" s="5">
        <v>43768</v>
      </c>
      <c r="B1217" s="6">
        <v>8284.2802730000003</v>
      </c>
      <c r="C1217" s="6">
        <v>8315.5</v>
      </c>
      <c r="D1217" s="6">
        <v>8241.7001949999994</v>
      </c>
      <c r="E1217" s="6">
        <v>8303.9804690000001</v>
      </c>
      <c r="F1217" s="6">
        <v>8303.9804690000001</v>
      </c>
      <c r="G1217" s="4">
        <v>1928420000</v>
      </c>
      <c r="H1217">
        <f t="shared" si="18"/>
        <v>3.2725604310362764E-3</v>
      </c>
    </row>
    <row r="1218" spans="1:8" x14ac:dyDescent="0.3">
      <c r="A1218" s="5">
        <v>43769</v>
      </c>
      <c r="B1218" s="6">
        <v>8314.3798829999996</v>
      </c>
      <c r="C1218" s="6">
        <v>8321.7998050000006</v>
      </c>
      <c r="D1218" s="6">
        <v>8248.8095699999994</v>
      </c>
      <c r="E1218" s="6">
        <v>8292.3603519999997</v>
      </c>
      <c r="F1218" s="6">
        <v>8292.3603519999997</v>
      </c>
      <c r="G1218" s="4">
        <v>2258270000</v>
      </c>
      <c r="H1218">
        <f t="shared" si="18"/>
        <v>-1.4003230018179537E-3</v>
      </c>
    </row>
    <row r="1219" spans="1:8" x14ac:dyDescent="0.3">
      <c r="A1219" s="5">
        <v>43770</v>
      </c>
      <c r="B1219" s="6">
        <v>8335.0498050000006</v>
      </c>
      <c r="C1219" s="6">
        <v>8386.75</v>
      </c>
      <c r="D1219" s="6">
        <v>8326.5595699999994</v>
      </c>
      <c r="E1219" s="6">
        <v>8386.4003909999992</v>
      </c>
      <c r="F1219" s="6">
        <v>8386.4003909999992</v>
      </c>
      <c r="G1219" s="4">
        <v>2057310000</v>
      </c>
      <c r="H1219">
        <f t="shared" si="18"/>
        <v>1.1276741359416406E-2</v>
      </c>
    </row>
    <row r="1220" spans="1:8" x14ac:dyDescent="0.3">
      <c r="A1220" s="5">
        <v>43773</v>
      </c>
      <c r="B1220" s="6">
        <v>8445.5</v>
      </c>
      <c r="C1220" s="6">
        <v>8451.3701170000004</v>
      </c>
      <c r="D1220" s="6">
        <v>8421.2998050000006</v>
      </c>
      <c r="E1220" s="6">
        <v>8433.2001949999994</v>
      </c>
      <c r="F1220" s="6">
        <v>8433.2001949999994</v>
      </c>
      <c r="G1220" s="4">
        <v>2149910000</v>
      </c>
      <c r="H1220">
        <f t="shared" ref="H1220:H1283" si="19">LN(E1220/E1219)</f>
        <v>5.5649270072674539E-3</v>
      </c>
    </row>
    <row r="1221" spans="1:8" x14ac:dyDescent="0.3">
      <c r="A1221" s="5">
        <v>43774</v>
      </c>
      <c r="B1221" s="6">
        <v>8446.6201170000004</v>
      </c>
      <c r="C1221" s="6">
        <v>8457.3896480000003</v>
      </c>
      <c r="D1221" s="6">
        <v>8421.0498050000006</v>
      </c>
      <c r="E1221" s="6">
        <v>8434.6796880000002</v>
      </c>
      <c r="F1221" s="6">
        <v>8434.6796880000002</v>
      </c>
      <c r="G1221" s="4">
        <v>2316710000</v>
      </c>
      <c r="H1221">
        <f t="shared" si="19"/>
        <v>1.7542133499363912E-4</v>
      </c>
    </row>
    <row r="1222" spans="1:8" x14ac:dyDescent="0.3">
      <c r="A1222" s="5">
        <v>43775</v>
      </c>
      <c r="B1222" s="6">
        <v>8426.5703130000002</v>
      </c>
      <c r="C1222" s="6">
        <v>8426.5703130000002</v>
      </c>
      <c r="D1222" s="6">
        <v>8379.3300780000009</v>
      </c>
      <c r="E1222" s="6">
        <v>8410.6298829999996</v>
      </c>
      <c r="F1222" s="6">
        <v>8410.6298829999996</v>
      </c>
      <c r="G1222" s="4">
        <v>2332650000</v>
      </c>
      <c r="H1222">
        <f t="shared" si="19"/>
        <v>-2.8553730329243295E-3</v>
      </c>
    </row>
    <row r="1223" spans="1:8" x14ac:dyDescent="0.3">
      <c r="A1223" s="5">
        <v>43776</v>
      </c>
      <c r="B1223" s="6">
        <v>8455.1103519999997</v>
      </c>
      <c r="C1223" s="6">
        <v>8483.1601559999999</v>
      </c>
      <c r="D1223" s="6">
        <v>8415.8701170000004</v>
      </c>
      <c r="E1223" s="6">
        <v>8434.5195309999999</v>
      </c>
      <c r="F1223" s="6">
        <v>8434.5195309999999</v>
      </c>
      <c r="G1223" s="4">
        <v>2393950000</v>
      </c>
      <c r="H1223">
        <f t="shared" si="19"/>
        <v>2.8363849353951779E-3</v>
      </c>
    </row>
    <row r="1224" spans="1:8" x14ac:dyDescent="0.3">
      <c r="A1224" s="5">
        <v>43777</v>
      </c>
      <c r="B1224" s="6">
        <v>8422.6699219999991</v>
      </c>
      <c r="C1224" s="6">
        <v>8475.5703130000002</v>
      </c>
      <c r="D1224" s="6">
        <v>8405.8896480000003</v>
      </c>
      <c r="E1224" s="6">
        <v>8475.3095699999994</v>
      </c>
      <c r="F1224" s="6">
        <v>8475.3095699999994</v>
      </c>
      <c r="G1224" s="4">
        <v>1974190000</v>
      </c>
      <c r="H1224">
        <f t="shared" si="19"/>
        <v>4.82442700897108E-3</v>
      </c>
    </row>
    <row r="1225" spans="1:8" x14ac:dyDescent="0.3">
      <c r="A1225" s="5">
        <v>43780</v>
      </c>
      <c r="B1225" s="6">
        <v>8431.2597659999992</v>
      </c>
      <c r="C1225" s="6">
        <v>8467.2900389999995</v>
      </c>
      <c r="D1225" s="6">
        <v>8425.4804690000001</v>
      </c>
      <c r="E1225" s="6">
        <v>8464.2802730000003</v>
      </c>
      <c r="F1225" s="6">
        <v>8464.2802730000003</v>
      </c>
      <c r="G1225" s="4">
        <v>1715470000</v>
      </c>
      <c r="H1225">
        <f t="shared" si="19"/>
        <v>-1.3021919256317263E-3</v>
      </c>
    </row>
    <row r="1226" spans="1:8" x14ac:dyDescent="0.3">
      <c r="A1226" s="5">
        <v>43781</v>
      </c>
      <c r="B1226" s="6">
        <v>8471.0703130000002</v>
      </c>
      <c r="C1226" s="6">
        <v>8514.8398440000001</v>
      </c>
      <c r="D1226" s="6">
        <v>8462.9902340000008</v>
      </c>
      <c r="E1226" s="6">
        <v>8486.0898440000001</v>
      </c>
      <c r="F1226" s="6">
        <v>8486.0898440000001</v>
      </c>
      <c r="G1226" s="4">
        <v>1987820000</v>
      </c>
      <c r="H1226">
        <f t="shared" si="19"/>
        <v>2.5733459369801596E-3</v>
      </c>
    </row>
    <row r="1227" spans="1:8" x14ac:dyDescent="0.3">
      <c r="A1227" s="5">
        <v>43782</v>
      </c>
      <c r="B1227" s="6">
        <v>8455.0195309999999</v>
      </c>
      <c r="C1227" s="6">
        <v>8496.9003909999992</v>
      </c>
      <c r="D1227" s="6">
        <v>8451.3398440000001</v>
      </c>
      <c r="E1227" s="6">
        <v>8482.0996090000008</v>
      </c>
      <c r="F1227" s="6">
        <v>8482.0996090000008</v>
      </c>
      <c r="G1227" s="4">
        <v>2173320000</v>
      </c>
      <c r="H1227">
        <f t="shared" si="19"/>
        <v>-4.7031948630768181E-4</v>
      </c>
    </row>
    <row r="1228" spans="1:8" x14ac:dyDescent="0.3">
      <c r="A1228" s="5">
        <v>43783</v>
      </c>
      <c r="B1228" s="6">
        <v>8461.0595699999994</v>
      </c>
      <c r="C1228" s="6">
        <v>8485.3603519999997</v>
      </c>
      <c r="D1228" s="6">
        <v>8441.5800780000009</v>
      </c>
      <c r="E1228" s="6">
        <v>8479.0195309999999</v>
      </c>
      <c r="F1228" s="6">
        <v>8479.0195309999999</v>
      </c>
      <c r="G1228" s="4">
        <v>2106550000</v>
      </c>
      <c r="H1228">
        <f t="shared" si="19"/>
        <v>-3.6319278326322818E-4</v>
      </c>
    </row>
    <row r="1229" spans="1:8" x14ac:dyDescent="0.3">
      <c r="A1229" s="5">
        <v>43784</v>
      </c>
      <c r="B1229" s="6">
        <v>8524.4804690000001</v>
      </c>
      <c r="C1229" s="6">
        <v>8540.8300780000009</v>
      </c>
      <c r="D1229" s="6">
        <v>8506.7998050000006</v>
      </c>
      <c r="E1229" s="6">
        <v>8540.8300780000009</v>
      </c>
      <c r="F1229" s="6">
        <v>8540.8300780000009</v>
      </c>
      <c r="G1229" s="4">
        <v>2188210000</v>
      </c>
      <c r="H1229">
        <f t="shared" si="19"/>
        <v>7.263380131209066E-3</v>
      </c>
    </row>
    <row r="1230" spans="1:8" x14ac:dyDescent="0.3">
      <c r="A1230" s="5">
        <v>43787</v>
      </c>
      <c r="B1230" s="6">
        <v>8529.1601559999999</v>
      </c>
      <c r="C1230" s="6">
        <v>8559.7802730000003</v>
      </c>
      <c r="D1230" s="6">
        <v>8503.6201170000004</v>
      </c>
      <c r="E1230" s="6">
        <v>8549.9404300000006</v>
      </c>
      <c r="F1230" s="6">
        <v>8549.9404300000006</v>
      </c>
      <c r="G1230" s="4">
        <v>2047240000</v>
      </c>
      <c r="H1230">
        <f t="shared" si="19"/>
        <v>1.0661137669173103E-3</v>
      </c>
    </row>
    <row r="1231" spans="1:8" x14ac:dyDescent="0.3">
      <c r="A1231" s="5">
        <v>43788</v>
      </c>
      <c r="B1231" s="6">
        <v>8578.0195309999999</v>
      </c>
      <c r="C1231" s="6">
        <v>8589.7597659999992</v>
      </c>
      <c r="D1231" s="6">
        <v>8536.7304690000001</v>
      </c>
      <c r="E1231" s="6">
        <v>8570.6601559999999</v>
      </c>
      <c r="F1231" s="6">
        <v>8570.6601559999999</v>
      </c>
      <c r="G1231" s="4">
        <v>2075000000</v>
      </c>
      <c r="H1231">
        <f t="shared" si="19"/>
        <v>2.4204450085212135E-3</v>
      </c>
    </row>
    <row r="1232" spans="1:8" x14ac:dyDescent="0.3">
      <c r="A1232" s="5">
        <v>43789</v>
      </c>
      <c r="B1232" s="6">
        <v>8543.5703130000002</v>
      </c>
      <c r="C1232" s="6">
        <v>8578.2695309999999</v>
      </c>
      <c r="D1232" s="6">
        <v>8468.6298829999996</v>
      </c>
      <c r="E1232" s="6">
        <v>8526.7304690000001</v>
      </c>
      <c r="F1232" s="6">
        <v>8526.7304690000001</v>
      </c>
      <c r="G1232" s="4">
        <v>2596030000</v>
      </c>
      <c r="H1232">
        <f t="shared" si="19"/>
        <v>-5.138770545082271E-3</v>
      </c>
    </row>
    <row r="1233" spans="1:8" x14ac:dyDescent="0.3">
      <c r="A1233" s="5">
        <v>43790</v>
      </c>
      <c r="B1233" s="6">
        <v>8527.8701170000004</v>
      </c>
      <c r="C1233" s="6">
        <v>8530.7304690000001</v>
      </c>
      <c r="D1233" s="6">
        <v>8487.2900389999995</v>
      </c>
      <c r="E1233" s="6">
        <v>8506.2099610000005</v>
      </c>
      <c r="F1233" s="6">
        <v>8506.2099610000005</v>
      </c>
      <c r="G1233" s="4">
        <v>2056230000</v>
      </c>
      <c r="H1233">
        <f t="shared" si="19"/>
        <v>-2.4095097393650915E-3</v>
      </c>
    </row>
    <row r="1234" spans="1:8" x14ac:dyDescent="0.3">
      <c r="A1234" s="5">
        <v>43791</v>
      </c>
      <c r="B1234" s="6">
        <v>8530.5400389999995</v>
      </c>
      <c r="C1234" s="6">
        <v>8535.4599610000005</v>
      </c>
      <c r="D1234" s="6">
        <v>8477.4902340000008</v>
      </c>
      <c r="E1234" s="6">
        <v>8519.8798829999996</v>
      </c>
      <c r="F1234" s="6">
        <v>8519.8798829999996</v>
      </c>
      <c r="G1234" s="4">
        <v>1877090000</v>
      </c>
      <c r="H1234">
        <f t="shared" si="19"/>
        <v>1.6057621053971998E-3</v>
      </c>
    </row>
    <row r="1235" spans="1:8" x14ac:dyDescent="0.3">
      <c r="A1235" s="5">
        <v>43794</v>
      </c>
      <c r="B1235" s="6">
        <v>8559.6503909999992</v>
      </c>
      <c r="C1235" s="6">
        <v>8633.1503909999992</v>
      </c>
      <c r="D1235" s="6">
        <v>8559.6503909999992</v>
      </c>
      <c r="E1235" s="6">
        <v>8632.4902340000008</v>
      </c>
      <c r="F1235" s="6">
        <v>8632.4902340000008</v>
      </c>
      <c r="G1235" s="4">
        <v>2256070000</v>
      </c>
      <c r="H1235">
        <f t="shared" si="19"/>
        <v>1.313077647285339E-2</v>
      </c>
    </row>
    <row r="1236" spans="1:8" x14ac:dyDescent="0.3">
      <c r="A1236" s="5">
        <v>43795</v>
      </c>
      <c r="B1236" s="6">
        <v>8635.4003909999992</v>
      </c>
      <c r="C1236" s="6">
        <v>8659.7304690000001</v>
      </c>
      <c r="D1236" s="6">
        <v>8625.6201170000004</v>
      </c>
      <c r="E1236" s="6">
        <v>8647.9296880000002</v>
      </c>
      <c r="F1236" s="6">
        <v>8647.9296880000002</v>
      </c>
      <c r="G1236" s="4">
        <v>2434570000</v>
      </c>
      <c r="H1236">
        <f t="shared" si="19"/>
        <v>1.7869308938124368E-3</v>
      </c>
    </row>
    <row r="1237" spans="1:8" x14ac:dyDescent="0.3">
      <c r="A1237" s="5">
        <v>43796</v>
      </c>
      <c r="B1237" s="6">
        <v>8669.5898440000001</v>
      </c>
      <c r="C1237" s="6">
        <v>8705.9101559999999</v>
      </c>
      <c r="D1237" s="6">
        <v>8662.5800780000009</v>
      </c>
      <c r="E1237" s="6">
        <v>8705.1796880000002</v>
      </c>
      <c r="F1237" s="6">
        <v>8705.1796880000002</v>
      </c>
      <c r="G1237" s="4">
        <v>1744580000</v>
      </c>
      <c r="H1237">
        <f t="shared" si="19"/>
        <v>6.5982650679636511E-3</v>
      </c>
    </row>
    <row r="1238" spans="1:8" x14ac:dyDescent="0.3">
      <c r="A1238" s="5">
        <v>43798</v>
      </c>
      <c r="B1238" s="6">
        <v>8682.0097659999992</v>
      </c>
      <c r="C1238" s="6">
        <v>8697.3203130000002</v>
      </c>
      <c r="D1238" s="6">
        <v>8664.0400389999995</v>
      </c>
      <c r="E1238" s="6">
        <v>8665.4697269999997</v>
      </c>
      <c r="F1238" s="6">
        <v>8665.4697269999997</v>
      </c>
      <c r="G1238" s="4">
        <v>1099090000</v>
      </c>
      <c r="H1238">
        <f t="shared" si="19"/>
        <v>-4.5720835445870328E-3</v>
      </c>
    </row>
    <row r="1239" spans="1:8" x14ac:dyDescent="0.3">
      <c r="A1239" s="5">
        <v>43801</v>
      </c>
      <c r="B1239" s="6">
        <v>8672.8398440000001</v>
      </c>
      <c r="C1239" s="6">
        <v>8672.8398440000001</v>
      </c>
      <c r="D1239" s="6">
        <v>8540.1601559999999</v>
      </c>
      <c r="E1239" s="6">
        <v>8567.9902340000008</v>
      </c>
      <c r="F1239" s="6">
        <v>8567.9902340000008</v>
      </c>
      <c r="G1239" s="4">
        <v>2225940000</v>
      </c>
      <c r="H1239">
        <f t="shared" si="19"/>
        <v>-1.131293807024648E-2</v>
      </c>
    </row>
    <row r="1240" spans="1:8" x14ac:dyDescent="0.3">
      <c r="A1240" s="5">
        <v>43802</v>
      </c>
      <c r="B1240" s="6">
        <v>8460.7197269999997</v>
      </c>
      <c r="C1240" s="6">
        <v>8523.9804690000001</v>
      </c>
      <c r="D1240" s="6">
        <v>8435.4003909999992</v>
      </c>
      <c r="E1240" s="6">
        <v>8520.6396480000003</v>
      </c>
      <c r="F1240" s="6">
        <v>8520.6396480000003</v>
      </c>
      <c r="G1240" s="4">
        <v>2308600000</v>
      </c>
      <c r="H1240">
        <f t="shared" si="19"/>
        <v>-5.5417792427060342E-3</v>
      </c>
    </row>
    <row r="1241" spans="1:8" x14ac:dyDescent="0.3">
      <c r="A1241" s="5">
        <v>43803</v>
      </c>
      <c r="B1241" s="6">
        <v>8557.4501949999994</v>
      </c>
      <c r="C1241" s="6">
        <v>8584.8798829999996</v>
      </c>
      <c r="D1241" s="6">
        <v>8552.3798829999996</v>
      </c>
      <c r="E1241" s="6">
        <v>8566.6699219999991</v>
      </c>
      <c r="F1241" s="6">
        <v>8566.6699219999991</v>
      </c>
      <c r="G1241" s="4">
        <v>2150680000</v>
      </c>
      <c r="H1241">
        <f t="shared" si="19"/>
        <v>5.3876691534957893E-3</v>
      </c>
    </row>
    <row r="1242" spans="1:8" x14ac:dyDescent="0.3">
      <c r="A1242" s="5">
        <v>43804</v>
      </c>
      <c r="B1242" s="6">
        <v>8587.9296880000002</v>
      </c>
      <c r="C1242" s="6">
        <v>8588.8896480000003</v>
      </c>
      <c r="D1242" s="6">
        <v>8541.9199219999991</v>
      </c>
      <c r="E1242" s="6">
        <v>8570.7001949999994</v>
      </c>
      <c r="F1242" s="6">
        <v>8570.7001949999994</v>
      </c>
      <c r="G1242" s="4">
        <v>2123380000</v>
      </c>
      <c r="H1242">
        <f t="shared" si="19"/>
        <v>4.7034907302407144E-4</v>
      </c>
    </row>
    <row r="1243" spans="1:8" x14ac:dyDescent="0.3">
      <c r="A1243" s="5">
        <v>43805</v>
      </c>
      <c r="B1243" s="6">
        <v>8634.25</v>
      </c>
      <c r="C1243" s="6">
        <v>8665.4404300000006</v>
      </c>
      <c r="D1243" s="6">
        <v>8630.5800780000009</v>
      </c>
      <c r="E1243" s="6">
        <v>8656.5302730000003</v>
      </c>
      <c r="F1243" s="6">
        <v>8656.5302730000003</v>
      </c>
      <c r="G1243" s="4">
        <v>2053530000</v>
      </c>
      <c r="H1243">
        <f t="shared" si="19"/>
        <v>9.9645486657393961E-3</v>
      </c>
    </row>
    <row r="1244" spans="1:8" x14ac:dyDescent="0.3">
      <c r="A1244" s="5">
        <v>43808</v>
      </c>
      <c r="B1244" s="6">
        <v>8650.8603519999997</v>
      </c>
      <c r="C1244" s="6">
        <v>8678.8496090000008</v>
      </c>
      <c r="D1244" s="6">
        <v>8619.7695309999999</v>
      </c>
      <c r="E1244" s="6">
        <v>8621.8300780000009</v>
      </c>
      <c r="F1244" s="6">
        <v>8621.8300780000009</v>
      </c>
      <c r="G1244" s="4">
        <v>2088520000</v>
      </c>
      <c r="H1244">
        <f t="shared" si="19"/>
        <v>-4.0166127974075429E-3</v>
      </c>
    </row>
    <row r="1245" spans="1:8" x14ac:dyDescent="0.3">
      <c r="A1245" s="5">
        <v>43809</v>
      </c>
      <c r="B1245" s="6">
        <v>8623.5595699999994</v>
      </c>
      <c r="C1245" s="6">
        <v>8650.7597659999992</v>
      </c>
      <c r="D1245" s="6">
        <v>8600.8203130000002</v>
      </c>
      <c r="E1245" s="6">
        <v>8616.1796880000002</v>
      </c>
      <c r="F1245" s="6">
        <v>8616.1796880000002</v>
      </c>
      <c r="G1245" s="4">
        <v>2053390000</v>
      </c>
      <c r="H1245">
        <f t="shared" si="19"/>
        <v>-6.5557338452288685E-4</v>
      </c>
    </row>
    <row r="1246" spans="1:8" x14ac:dyDescent="0.3">
      <c r="A1246" s="5">
        <v>43810</v>
      </c>
      <c r="B1246" s="6">
        <v>8631.1201170000004</v>
      </c>
      <c r="C1246" s="6">
        <v>8658.4804690000001</v>
      </c>
      <c r="D1246" s="6">
        <v>8622.3603519999997</v>
      </c>
      <c r="E1246" s="6">
        <v>8654.0498050000006</v>
      </c>
      <c r="F1246" s="6">
        <v>8654.0498050000006</v>
      </c>
      <c r="G1246" s="4">
        <v>1937850000</v>
      </c>
      <c r="H1246">
        <f t="shared" si="19"/>
        <v>4.3856021384380524E-3</v>
      </c>
    </row>
    <row r="1247" spans="1:8" x14ac:dyDescent="0.3">
      <c r="A1247" s="5">
        <v>43811</v>
      </c>
      <c r="B1247" s="6">
        <v>8645.3603519999997</v>
      </c>
      <c r="C1247" s="6">
        <v>8745.8203130000002</v>
      </c>
      <c r="D1247" s="6">
        <v>8633.5996090000008</v>
      </c>
      <c r="E1247" s="6">
        <v>8717.3203130000002</v>
      </c>
      <c r="F1247" s="6">
        <v>8717.3203130000002</v>
      </c>
      <c r="G1247" s="4">
        <v>2388270000</v>
      </c>
      <c r="H1247">
        <f t="shared" si="19"/>
        <v>7.2844902101660185E-3</v>
      </c>
    </row>
    <row r="1248" spans="1:8" x14ac:dyDescent="0.3">
      <c r="A1248" s="5">
        <v>43812</v>
      </c>
      <c r="B1248" s="6">
        <v>8713.9101559999999</v>
      </c>
      <c r="C1248" s="6">
        <v>8768.8701170000004</v>
      </c>
      <c r="D1248" s="6">
        <v>8697.5800780000009</v>
      </c>
      <c r="E1248" s="6">
        <v>8734.8798829999996</v>
      </c>
      <c r="F1248" s="6">
        <v>8734.8798829999996</v>
      </c>
      <c r="G1248" s="4">
        <v>2188720000</v>
      </c>
      <c r="H1248">
        <f t="shared" si="19"/>
        <v>2.0123051223603877E-3</v>
      </c>
    </row>
    <row r="1249" spans="1:8" x14ac:dyDescent="0.3">
      <c r="A1249" s="5">
        <v>43815</v>
      </c>
      <c r="B1249" s="6">
        <v>8791.3095699999994</v>
      </c>
      <c r="C1249" s="6">
        <v>8833.4501949999994</v>
      </c>
      <c r="D1249" s="6">
        <v>8789.7695309999999</v>
      </c>
      <c r="E1249" s="6">
        <v>8814.2304690000001</v>
      </c>
      <c r="F1249" s="6">
        <v>8814.2304690000001</v>
      </c>
      <c r="G1249" s="4">
        <v>2346290000</v>
      </c>
      <c r="H1249">
        <f t="shared" si="19"/>
        <v>9.0433218770556711E-3</v>
      </c>
    </row>
    <row r="1250" spans="1:8" x14ac:dyDescent="0.3">
      <c r="A1250" s="5">
        <v>43816</v>
      </c>
      <c r="B1250" s="6">
        <v>8829.4697269999997</v>
      </c>
      <c r="C1250" s="6">
        <v>8831.9902340000008</v>
      </c>
      <c r="D1250" s="6">
        <v>8804.5996090000008</v>
      </c>
      <c r="E1250" s="6">
        <v>8823.3603519999997</v>
      </c>
      <c r="F1250" s="6">
        <v>8823.3603519999997</v>
      </c>
      <c r="G1250" s="4">
        <v>2374120000</v>
      </c>
      <c r="H1250">
        <f t="shared" si="19"/>
        <v>1.0352756119704275E-3</v>
      </c>
    </row>
    <row r="1251" spans="1:8" x14ac:dyDescent="0.3">
      <c r="A1251" s="5">
        <v>43817</v>
      </c>
      <c r="B1251" s="6">
        <v>8834.6503909999992</v>
      </c>
      <c r="C1251" s="6">
        <v>8848.7597659999992</v>
      </c>
      <c r="D1251" s="6">
        <v>8820.4199219999991</v>
      </c>
      <c r="E1251" s="6">
        <v>8827.7402340000008</v>
      </c>
      <c r="F1251" s="6">
        <v>8827.7402340000008</v>
      </c>
      <c r="G1251" s="4">
        <v>2727870000</v>
      </c>
      <c r="H1251">
        <f t="shared" si="19"/>
        <v>4.9627297386408938E-4</v>
      </c>
    </row>
    <row r="1252" spans="1:8" x14ac:dyDescent="0.3">
      <c r="A1252" s="5">
        <v>43818</v>
      </c>
      <c r="B1252" s="6">
        <v>8838.9697269999997</v>
      </c>
      <c r="C1252" s="6">
        <v>8888.1298829999996</v>
      </c>
      <c r="D1252" s="6">
        <v>8838.9697269999997</v>
      </c>
      <c r="E1252" s="6">
        <v>8887.2197269999997</v>
      </c>
      <c r="F1252" s="6">
        <v>8887.2197269999997</v>
      </c>
      <c r="G1252" s="4">
        <v>2415950000</v>
      </c>
      <c r="H1252">
        <f t="shared" si="19"/>
        <v>6.7151962684770293E-3</v>
      </c>
    </row>
    <row r="1253" spans="1:8" x14ac:dyDescent="0.3">
      <c r="A1253" s="5">
        <v>43819</v>
      </c>
      <c r="B1253" s="6">
        <v>8911.8398440000001</v>
      </c>
      <c r="C1253" s="6">
        <v>8931.9101559999999</v>
      </c>
      <c r="D1253" s="6">
        <v>8901.8701170000004</v>
      </c>
      <c r="E1253" s="6">
        <v>8924.9599610000005</v>
      </c>
      <c r="F1253" s="6">
        <v>8924.9599610000005</v>
      </c>
      <c r="G1253" s="4">
        <v>3825460000</v>
      </c>
      <c r="H1253">
        <f t="shared" si="19"/>
        <v>4.2375825010181958E-3</v>
      </c>
    </row>
    <row r="1254" spans="1:8" x14ac:dyDescent="0.3">
      <c r="A1254" s="5">
        <v>43822</v>
      </c>
      <c r="B1254" s="6">
        <v>8950.2001949999994</v>
      </c>
      <c r="C1254" s="6">
        <v>8956.6396480000003</v>
      </c>
      <c r="D1254" s="6">
        <v>8934.5498050000006</v>
      </c>
      <c r="E1254" s="6">
        <v>8945.6503909999992</v>
      </c>
      <c r="F1254" s="6">
        <v>8945.6503909999992</v>
      </c>
      <c r="G1254" s="4">
        <v>2025450000</v>
      </c>
      <c r="H1254">
        <f t="shared" si="19"/>
        <v>2.3155828298527608E-3</v>
      </c>
    </row>
    <row r="1255" spans="1:8" x14ac:dyDescent="0.3">
      <c r="A1255" s="5">
        <v>43823</v>
      </c>
      <c r="B1255" s="6">
        <v>8955.0097659999992</v>
      </c>
      <c r="C1255" s="6">
        <v>8957.1201170000004</v>
      </c>
      <c r="D1255" s="6">
        <v>8934.3603519999997</v>
      </c>
      <c r="E1255" s="6">
        <v>8952.8798829999996</v>
      </c>
      <c r="F1255" s="6">
        <v>8952.8798829999996</v>
      </c>
      <c r="G1255" s="4">
        <v>1014520000</v>
      </c>
      <c r="H1255">
        <f t="shared" si="19"/>
        <v>8.0783084225193611E-4</v>
      </c>
    </row>
    <row r="1256" spans="1:8" x14ac:dyDescent="0.3">
      <c r="A1256" s="5">
        <v>43825</v>
      </c>
      <c r="B1256" s="6">
        <v>8970.2099610000005</v>
      </c>
      <c r="C1256" s="6">
        <v>9022.4599610000005</v>
      </c>
      <c r="D1256" s="6">
        <v>8968.4599610000005</v>
      </c>
      <c r="E1256" s="6">
        <v>9022.3896480000003</v>
      </c>
      <c r="F1256" s="6">
        <v>9022.3896480000003</v>
      </c>
      <c r="G1256" s="4">
        <v>1634920000</v>
      </c>
      <c r="H1256">
        <f t="shared" si="19"/>
        <v>7.7339715382884209E-3</v>
      </c>
    </row>
    <row r="1257" spans="1:8" x14ac:dyDescent="0.3">
      <c r="A1257" s="5">
        <v>43826</v>
      </c>
      <c r="B1257" s="6">
        <v>9049.4697269999997</v>
      </c>
      <c r="C1257" s="6">
        <v>9052</v>
      </c>
      <c r="D1257" s="6">
        <v>8987.3203130000002</v>
      </c>
      <c r="E1257" s="6">
        <v>9006.6201170000004</v>
      </c>
      <c r="F1257" s="6">
        <v>9006.6201170000004</v>
      </c>
      <c r="G1257" s="4">
        <v>1832200000</v>
      </c>
      <c r="H1257">
        <f t="shared" si="19"/>
        <v>-1.7493512097536772E-3</v>
      </c>
    </row>
    <row r="1258" spans="1:8" x14ac:dyDescent="0.3">
      <c r="A1258" s="5">
        <v>43829</v>
      </c>
      <c r="B1258" s="6">
        <v>9004.4501949999994</v>
      </c>
      <c r="C1258" s="6">
        <v>9006.3603519999997</v>
      </c>
      <c r="D1258" s="6">
        <v>8909.1904300000006</v>
      </c>
      <c r="E1258" s="6">
        <v>8945.9902340000008</v>
      </c>
      <c r="F1258" s="6">
        <v>8945.9902340000008</v>
      </c>
      <c r="G1258" s="4">
        <v>2042420000</v>
      </c>
      <c r="H1258">
        <f t="shared" si="19"/>
        <v>-6.7544621448313597E-3</v>
      </c>
    </row>
    <row r="1259" spans="1:8" x14ac:dyDescent="0.3">
      <c r="A1259" s="5">
        <v>43830</v>
      </c>
      <c r="B1259" s="6">
        <v>8918.7402340000008</v>
      </c>
      <c r="C1259" s="6">
        <v>8975.3603519999997</v>
      </c>
      <c r="D1259" s="6">
        <v>8912.7695309999999</v>
      </c>
      <c r="E1259" s="6">
        <v>8972.5996090000008</v>
      </c>
      <c r="F1259" s="6">
        <v>8972.5996090000008</v>
      </c>
      <c r="G1259" s="4">
        <v>2182800000</v>
      </c>
      <c r="H1259">
        <f t="shared" si="19"/>
        <v>2.9700322172063307E-3</v>
      </c>
    </row>
    <row r="1260" spans="1:8" x14ac:dyDescent="0.3">
      <c r="A1260" s="5">
        <v>43832</v>
      </c>
      <c r="B1260" s="6">
        <v>9039.4599610000005</v>
      </c>
      <c r="C1260" s="6">
        <v>9093.4296880000002</v>
      </c>
      <c r="D1260" s="6">
        <v>9010.8896480000003</v>
      </c>
      <c r="E1260" s="6">
        <v>9092.1904300000006</v>
      </c>
      <c r="F1260" s="6">
        <v>9092.1904300000006</v>
      </c>
      <c r="G1260" s="4">
        <v>2848370000</v>
      </c>
      <c r="H1260">
        <f t="shared" si="19"/>
        <v>1.3240404991394174E-2</v>
      </c>
    </row>
    <row r="1261" spans="1:8" x14ac:dyDescent="0.3">
      <c r="A1261" s="5">
        <v>43833</v>
      </c>
      <c r="B1261" s="6">
        <v>8976.4296880000002</v>
      </c>
      <c r="C1261" s="6">
        <v>9065.7597659999992</v>
      </c>
      <c r="D1261" s="6">
        <v>8976.4296880000002</v>
      </c>
      <c r="E1261" s="6">
        <v>9020.7695309999999</v>
      </c>
      <c r="F1261" s="6">
        <v>9020.7695309999999</v>
      </c>
      <c r="G1261" s="4">
        <v>2567400000</v>
      </c>
      <c r="H1261">
        <f t="shared" si="19"/>
        <v>-7.8862062639782175E-3</v>
      </c>
    </row>
    <row r="1262" spans="1:8" x14ac:dyDescent="0.3">
      <c r="A1262" s="5">
        <v>43836</v>
      </c>
      <c r="B1262" s="6">
        <v>8943.5</v>
      </c>
      <c r="C1262" s="6">
        <v>9072.4101559999999</v>
      </c>
      <c r="D1262" s="6">
        <v>8943.5</v>
      </c>
      <c r="E1262" s="6">
        <v>9071.4697269999997</v>
      </c>
      <c r="F1262" s="6">
        <v>9071.4697269999997</v>
      </c>
      <c r="G1262" s="4">
        <v>2788120000</v>
      </c>
      <c r="H1262">
        <f t="shared" si="19"/>
        <v>5.6046493740816864E-3</v>
      </c>
    </row>
    <row r="1263" spans="1:8" x14ac:dyDescent="0.3">
      <c r="A1263" s="5">
        <v>43837</v>
      </c>
      <c r="B1263" s="6">
        <v>9076.6396480000003</v>
      </c>
      <c r="C1263" s="6">
        <v>9091.9296880000002</v>
      </c>
      <c r="D1263" s="6">
        <v>9042.5498050000006</v>
      </c>
      <c r="E1263" s="6">
        <v>9068.5800780000009</v>
      </c>
      <c r="F1263" s="6">
        <v>9068.5800780000009</v>
      </c>
      <c r="G1263" s="4">
        <v>2352850000</v>
      </c>
      <c r="H1263">
        <f t="shared" si="19"/>
        <v>-3.1859328452831485E-4</v>
      </c>
    </row>
    <row r="1264" spans="1:8" x14ac:dyDescent="0.3">
      <c r="A1264" s="5">
        <v>43838</v>
      </c>
      <c r="B1264" s="6">
        <v>9068.0302730000003</v>
      </c>
      <c r="C1264" s="6">
        <v>9168.8896480000003</v>
      </c>
      <c r="D1264" s="6">
        <v>9059.3798829999996</v>
      </c>
      <c r="E1264" s="6">
        <v>9129.2402340000008</v>
      </c>
      <c r="F1264" s="6">
        <v>9129.2402340000008</v>
      </c>
      <c r="G1264" s="4">
        <v>2464090000</v>
      </c>
      <c r="H1264">
        <f t="shared" si="19"/>
        <v>6.6667743316857226E-3</v>
      </c>
    </row>
    <row r="1265" spans="1:8" x14ac:dyDescent="0.3">
      <c r="A1265" s="5">
        <v>43839</v>
      </c>
      <c r="B1265" s="6">
        <v>9202.2695309999999</v>
      </c>
      <c r="C1265" s="6">
        <v>9215.9501949999994</v>
      </c>
      <c r="D1265" s="6">
        <v>9158.5</v>
      </c>
      <c r="E1265" s="6">
        <v>9203.4296880000002</v>
      </c>
      <c r="F1265" s="6">
        <v>9203.4296880000002</v>
      </c>
      <c r="G1265" s="4">
        <v>2534700000</v>
      </c>
      <c r="H1265">
        <f t="shared" si="19"/>
        <v>8.0937320443257143E-3</v>
      </c>
    </row>
    <row r="1266" spans="1:8" x14ac:dyDescent="0.3">
      <c r="A1266" s="5">
        <v>43840</v>
      </c>
      <c r="B1266" s="6">
        <v>9232.9501949999994</v>
      </c>
      <c r="C1266" s="6">
        <v>9235.2001949999994</v>
      </c>
      <c r="D1266" s="6">
        <v>9164.6601559999999</v>
      </c>
      <c r="E1266" s="6">
        <v>9178.8603519999997</v>
      </c>
      <c r="F1266" s="6">
        <v>9178.8603519999997</v>
      </c>
      <c r="G1266" s="4">
        <v>2378990000</v>
      </c>
      <c r="H1266">
        <f t="shared" si="19"/>
        <v>-2.6731544956666172E-3</v>
      </c>
    </row>
    <row r="1267" spans="1:8" x14ac:dyDescent="0.3">
      <c r="A1267" s="5">
        <v>43843</v>
      </c>
      <c r="B1267" s="6">
        <v>9213.7197269999997</v>
      </c>
      <c r="C1267" s="6">
        <v>9274.4902340000008</v>
      </c>
      <c r="D1267" s="6">
        <v>9193.0595699999994</v>
      </c>
      <c r="E1267" s="6">
        <v>9273.9296880000002</v>
      </c>
      <c r="F1267" s="6">
        <v>9273.9296880000002</v>
      </c>
      <c r="G1267" s="4">
        <v>2530270000</v>
      </c>
      <c r="H1267">
        <f t="shared" si="19"/>
        <v>1.030415205097384E-2</v>
      </c>
    </row>
    <row r="1268" spans="1:8" x14ac:dyDescent="0.3">
      <c r="A1268" s="5">
        <v>43844</v>
      </c>
      <c r="B1268" s="6">
        <v>9270.6103519999997</v>
      </c>
      <c r="C1268" s="6">
        <v>9298.3300780000009</v>
      </c>
      <c r="D1268" s="6">
        <v>9226.4902340000008</v>
      </c>
      <c r="E1268" s="6">
        <v>9251.3300780000009</v>
      </c>
      <c r="F1268" s="6">
        <v>9251.3300780000009</v>
      </c>
      <c r="G1268" s="4">
        <v>2542170000</v>
      </c>
      <c r="H1268">
        <f t="shared" si="19"/>
        <v>-2.4398709110367411E-3</v>
      </c>
    </row>
    <row r="1269" spans="1:8" x14ac:dyDescent="0.3">
      <c r="A1269" s="5">
        <v>43845</v>
      </c>
      <c r="B1269" s="6">
        <v>9253.7597659999992</v>
      </c>
      <c r="C1269" s="6">
        <v>9298.8203130000002</v>
      </c>
      <c r="D1269" s="6">
        <v>9231.1396480000003</v>
      </c>
      <c r="E1269" s="6">
        <v>9258.7001949999994</v>
      </c>
      <c r="F1269" s="6">
        <v>9258.7001949999994</v>
      </c>
      <c r="G1269" s="4">
        <v>2435650000</v>
      </c>
      <c r="H1269">
        <f t="shared" si="19"/>
        <v>7.9633769159531849E-4</v>
      </c>
    </row>
    <row r="1270" spans="1:8" x14ac:dyDescent="0.3">
      <c r="A1270" s="5">
        <v>43846</v>
      </c>
      <c r="B1270" s="6">
        <v>9313.4501949999994</v>
      </c>
      <c r="C1270" s="6">
        <v>9357.9199219999991</v>
      </c>
      <c r="D1270" s="6">
        <v>9301.3203130000002</v>
      </c>
      <c r="E1270" s="6">
        <v>9357.1298829999996</v>
      </c>
      <c r="F1270" s="6">
        <v>9357.1298829999996</v>
      </c>
      <c r="G1270" s="4">
        <v>2301400000</v>
      </c>
      <c r="H1270">
        <f t="shared" si="19"/>
        <v>1.057493594027748E-2</v>
      </c>
    </row>
    <row r="1271" spans="1:8" x14ac:dyDescent="0.3">
      <c r="A1271" s="5">
        <v>43847</v>
      </c>
      <c r="B1271" s="6">
        <v>9392.3701170000004</v>
      </c>
      <c r="C1271" s="6">
        <v>9393.4804690000001</v>
      </c>
      <c r="D1271" s="6">
        <v>9346.8095699999994</v>
      </c>
      <c r="E1271" s="6">
        <v>9388.9404300000006</v>
      </c>
      <c r="F1271" s="6">
        <v>9388.9404300000006</v>
      </c>
      <c r="G1271" s="4">
        <v>2522670000</v>
      </c>
      <c r="H1271">
        <f t="shared" si="19"/>
        <v>3.3938395623267347E-3</v>
      </c>
    </row>
    <row r="1272" spans="1:8" x14ac:dyDescent="0.3">
      <c r="A1272" s="5">
        <v>43851</v>
      </c>
      <c r="B1272" s="6">
        <v>9361.0703130000002</v>
      </c>
      <c r="C1272" s="6">
        <v>9397.5800780000009</v>
      </c>
      <c r="D1272" s="6">
        <v>9350.2001949999994</v>
      </c>
      <c r="E1272" s="6">
        <v>9370.8095699999994</v>
      </c>
      <c r="F1272" s="6">
        <v>9370.8095699999994</v>
      </c>
      <c r="G1272" s="4">
        <v>2684540000</v>
      </c>
      <c r="H1272">
        <f t="shared" si="19"/>
        <v>-1.9329538661454863E-3</v>
      </c>
    </row>
    <row r="1273" spans="1:8" x14ac:dyDescent="0.3">
      <c r="A1273" s="5">
        <v>43852</v>
      </c>
      <c r="B1273" s="6">
        <v>9413.6103519999997</v>
      </c>
      <c r="C1273" s="6">
        <v>9439.2900389999995</v>
      </c>
      <c r="D1273" s="6">
        <v>9375.1298829999996</v>
      </c>
      <c r="E1273" s="6">
        <v>9383.7695309999999</v>
      </c>
      <c r="F1273" s="6">
        <v>9383.7695309999999</v>
      </c>
      <c r="G1273" s="4">
        <v>2449390000</v>
      </c>
      <c r="H1273">
        <f t="shared" si="19"/>
        <v>1.3820585354747444E-3</v>
      </c>
    </row>
    <row r="1274" spans="1:8" x14ac:dyDescent="0.3">
      <c r="A1274" s="5">
        <v>43853</v>
      </c>
      <c r="B1274" s="6">
        <v>9377.7197269999997</v>
      </c>
      <c r="C1274" s="6">
        <v>9409.2001949999994</v>
      </c>
      <c r="D1274" s="6">
        <v>9334.1298829999996</v>
      </c>
      <c r="E1274" s="6">
        <v>9402.4804690000001</v>
      </c>
      <c r="F1274" s="6">
        <v>9402.4804690000001</v>
      </c>
      <c r="G1274" s="4">
        <v>2460050000</v>
      </c>
      <c r="H1274">
        <f t="shared" si="19"/>
        <v>1.9919828797207739E-3</v>
      </c>
    </row>
    <row r="1275" spans="1:8" x14ac:dyDescent="0.3">
      <c r="A1275" s="5">
        <v>43854</v>
      </c>
      <c r="B1275" s="6">
        <v>9446.2099610000005</v>
      </c>
      <c r="C1275" s="6">
        <v>9451.4296880000002</v>
      </c>
      <c r="D1275" s="6">
        <v>9273.2304690000001</v>
      </c>
      <c r="E1275" s="6">
        <v>9314.9101559999999</v>
      </c>
      <c r="F1275" s="6">
        <v>9314.9101559999999</v>
      </c>
      <c r="G1275" s="4">
        <v>2611710000</v>
      </c>
      <c r="H1275">
        <f t="shared" si="19"/>
        <v>-9.3571752282191594E-3</v>
      </c>
    </row>
    <row r="1276" spans="1:8" x14ac:dyDescent="0.3">
      <c r="A1276" s="5">
        <v>43857</v>
      </c>
      <c r="B1276" s="6">
        <v>9092.4599610000005</v>
      </c>
      <c r="C1276" s="6">
        <v>9185.4501949999994</v>
      </c>
      <c r="D1276" s="6">
        <v>9088.0400389999995</v>
      </c>
      <c r="E1276" s="6">
        <v>9139.3095699999994</v>
      </c>
      <c r="F1276" s="6">
        <v>9139.3095699999994</v>
      </c>
      <c r="G1276" s="4">
        <v>2583330000</v>
      </c>
      <c r="H1276">
        <f t="shared" si="19"/>
        <v>-1.9031515692963935E-2</v>
      </c>
    </row>
    <row r="1277" spans="1:8" x14ac:dyDescent="0.3">
      <c r="A1277" s="5">
        <v>43858</v>
      </c>
      <c r="B1277" s="6">
        <v>9201.8203130000002</v>
      </c>
      <c r="C1277" s="6">
        <v>9288.8701170000004</v>
      </c>
      <c r="D1277" s="6">
        <v>9182.3300780000009</v>
      </c>
      <c r="E1277" s="6">
        <v>9269.6796880000002</v>
      </c>
      <c r="F1277" s="6">
        <v>9269.6796880000002</v>
      </c>
      <c r="G1277" s="4">
        <v>2157830000</v>
      </c>
      <c r="H1277">
        <f t="shared" si="19"/>
        <v>1.4163982141459079E-2</v>
      </c>
    </row>
    <row r="1278" spans="1:8" x14ac:dyDescent="0.3">
      <c r="A1278" s="5">
        <v>43859</v>
      </c>
      <c r="B1278" s="6">
        <v>9318.2597659999992</v>
      </c>
      <c r="C1278" s="6">
        <v>9329.1201170000004</v>
      </c>
      <c r="D1278" s="6">
        <v>9249.0400389999995</v>
      </c>
      <c r="E1278" s="6">
        <v>9275.1601559999999</v>
      </c>
      <c r="F1278" s="6">
        <v>9275.1601559999999</v>
      </c>
      <c r="G1278" s="4">
        <v>2223480000</v>
      </c>
      <c r="H1278">
        <f t="shared" si="19"/>
        <v>5.9105047071296392E-4</v>
      </c>
    </row>
    <row r="1279" spans="1:8" x14ac:dyDescent="0.3">
      <c r="A1279" s="5">
        <v>43860</v>
      </c>
      <c r="B1279" s="6">
        <v>9211.1503909999992</v>
      </c>
      <c r="C1279" s="6">
        <v>9303</v>
      </c>
      <c r="D1279" s="6">
        <v>9185.1796880000002</v>
      </c>
      <c r="E1279" s="6">
        <v>9298.9296880000002</v>
      </c>
      <c r="F1279" s="6">
        <v>9298.9296880000002</v>
      </c>
      <c r="G1279" s="4">
        <v>2333500000</v>
      </c>
      <c r="H1279">
        <f t="shared" si="19"/>
        <v>2.559430386650653E-3</v>
      </c>
    </row>
    <row r="1280" spans="1:8" x14ac:dyDescent="0.3">
      <c r="A1280" s="5">
        <v>43861</v>
      </c>
      <c r="B1280" s="6">
        <v>9324.3300780000009</v>
      </c>
      <c r="C1280" s="6">
        <v>9324.7998050000006</v>
      </c>
      <c r="D1280" s="6">
        <v>9123.2197269999997</v>
      </c>
      <c r="E1280" s="6">
        <v>9150.9404300000006</v>
      </c>
      <c r="F1280" s="6">
        <v>9150.9404300000006</v>
      </c>
      <c r="G1280" s="4">
        <v>2685840000</v>
      </c>
      <c r="H1280">
        <f t="shared" si="19"/>
        <v>-1.6042652983350534E-2</v>
      </c>
    </row>
    <row r="1281" spans="1:8" x14ac:dyDescent="0.3">
      <c r="A1281" s="5">
        <v>43864</v>
      </c>
      <c r="B1281" s="6">
        <v>9190.7197269999997</v>
      </c>
      <c r="C1281" s="6">
        <v>9299.8496090000008</v>
      </c>
      <c r="D1281" s="6">
        <v>9188.5498050000006</v>
      </c>
      <c r="E1281" s="6">
        <v>9273.4003909999992</v>
      </c>
      <c r="F1281" s="6">
        <v>9273.4003909999992</v>
      </c>
      <c r="G1281" s="4">
        <v>2420510000</v>
      </c>
      <c r="H1281">
        <f t="shared" si="19"/>
        <v>1.329347579658321E-2</v>
      </c>
    </row>
    <row r="1282" spans="1:8" x14ac:dyDescent="0.3">
      <c r="A1282" s="5">
        <v>43865</v>
      </c>
      <c r="B1282" s="6">
        <v>9398.3896480000003</v>
      </c>
      <c r="C1282" s="6">
        <v>9485.3798829999996</v>
      </c>
      <c r="D1282" s="6">
        <v>9374.0498050000006</v>
      </c>
      <c r="E1282" s="6">
        <v>9467.9697269999997</v>
      </c>
      <c r="F1282" s="6">
        <v>9467.9697269999997</v>
      </c>
      <c r="G1282" s="4">
        <v>2445420000</v>
      </c>
      <c r="H1282">
        <f t="shared" si="19"/>
        <v>2.0764365207289151E-2</v>
      </c>
    </row>
    <row r="1283" spans="1:8" x14ac:dyDescent="0.3">
      <c r="A1283" s="5">
        <v>43866</v>
      </c>
      <c r="B1283" s="6">
        <v>9574.0996090000008</v>
      </c>
      <c r="C1283" s="6">
        <v>9574.9404300000006</v>
      </c>
      <c r="D1283" s="6">
        <v>9454.9296880000002</v>
      </c>
      <c r="E1283" s="6">
        <v>9508.6796880000002</v>
      </c>
      <c r="F1283" s="6">
        <v>9508.6796880000002</v>
      </c>
      <c r="G1283" s="4">
        <v>2462470000</v>
      </c>
      <c r="H1283">
        <f t="shared" si="19"/>
        <v>4.2905386047054203E-3</v>
      </c>
    </row>
    <row r="1284" spans="1:8" x14ac:dyDescent="0.3">
      <c r="A1284" s="5">
        <v>43867</v>
      </c>
      <c r="B1284" s="6">
        <v>9540.9804690000001</v>
      </c>
      <c r="C1284" s="6">
        <v>9575.6601559999999</v>
      </c>
      <c r="D1284" s="6">
        <v>9505.6796880000002</v>
      </c>
      <c r="E1284" s="6">
        <v>9572.1503909999992</v>
      </c>
      <c r="F1284" s="6">
        <v>9572.1503909999992</v>
      </c>
      <c r="G1284" s="4">
        <v>2267300000</v>
      </c>
      <c r="H1284">
        <f t="shared" ref="H1284:H1347" si="20">LN(E1284/E1283)</f>
        <v>6.6528486276788597E-3</v>
      </c>
    </row>
    <row r="1285" spans="1:8" x14ac:dyDescent="0.3">
      <c r="A1285" s="5">
        <v>43868</v>
      </c>
      <c r="B1285" s="6">
        <v>9526.6396480000003</v>
      </c>
      <c r="C1285" s="6">
        <v>9570.0898440000001</v>
      </c>
      <c r="D1285" s="6">
        <v>9496.5302730000003</v>
      </c>
      <c r="E1285" s="6">
        <v>9520.5097659999992</v>
      </c>
      <c r="F1285" s="6">
        <v>9520.5097659999992</v>
      </c>
      <c r="G1285" s="4">
        <v>2238670000</v>
      </c>
      <c r="H1285">
        <f t="shared" si="20"/>
        <v>-5.4094872588036609E-3</v>
      </c>
    </row>
    <row r="1286" spans="1:8" x14ac:dyDescent="0.3">
      <c r="A1286" s="5">
        <v>43871</v>
      </c>
      <c r="B1286" s="6">
        <v>9493.6298829999996</v>
      </c>
      <c r="C1286" s="6">
        <v>9628.6601559999999</v>
      </c>
      <c r="D1286" s="6">
        <v>9493.6298829999996</v>
      </c>
      <c r="E1286" s="6">
        <v>9628.3896480000003</v>
      </c>
      <c r="F1286" s="6">
        <v>9628.3896480000003</v>
      </c>
      <c r="G1286" s="4">
        <v>2179310000</v>
      </c>
      <c r="H1286">
        <f t="shared" si="20"/>
        <v>1.1267595178466167E-2</v>
      </c>
    </row>
    <row r="1287" spans="1:8" x14ac:dyDescent="0.3">
      <c r="A1287" s="5">
        <v>43872</v>
      </c>
      <c r="B1287" s="6">
        <v>9680.8896480000003</v>
      </c>
      <c r="C1287" s="6">
        <v>9714.7402340000008</v>
      </c>
      <c r="D1287" s="6">
        <v>9617.2099610000005</v>
      </c>
      <c r="E1287" s="6">
        <v>9638.9404300000006</v>
      </c>
      <c r="F1287" s="6">
        <v>9638.9404300000006</v>
      </c>
      <c r="G1287" s="4">
        <v>2423670000</v>
      </c>
      <c r="H1287">
        <f t="shared" si="20"/>
        <v>1.0951992841655921E-3</v>
      </c>
    </row>
    <row r="1288" spans="1:8" x14ac:dyDescent="0.3">
      <c r="A1288" s="5">
        <v>43873</v>
      </c>
      <c r="B1288" s="6">
        <v>9688.5996090000008</v>
      </c>
      <c r="C1288" s="6">
        <v>9728.7695309999999</v>
      </c>
      <c r="D1288" s="6">
        <v>9666.6904300000006</v>
      </c>
      <c r="E1288" s="6">
        <v>9725.9599610000005</v>
      </c>
      <c r="F1288" s="6">
        <v>9725.9599610000005</v>
      </c>
      <c r="G1288" s="4">
        <v>2355000000</v>
      </c>
      <c r="H1288">
        <f t="shared" si="20"/>
        <v>8.987406594544705E-3</v>
      </c>
    </row>
    <row r="1289" spans="1:8" x14ac:dyDescent="0.3">
      <c r="A1289" s="5">
        <v>43874</v>
      </c>
      <c r="B1289" s="6">
        <v>9657.0400389999995</v>
      </c>
      <c r="C1289" s="6">
        <v>9748.3203130000002</v>
      </c>
      <c r="D1289" s="6">
        <v>9650.0195309999999</v>
      </c>
      <c r="E1289" s="6">
        <v>9711.9697269999997</v>
      </c>
      <c r="F1289" s="6">
        <v>9711.9697269999997</v>
      </c>
      <c r="G1289" s="4">
        <v>2239270000</v>
      </c>
      <c r="H1289">
        <f t="shared" si="20"/>
        <v>-1.4394780349882711E-3</v>
      </c>
    </row>
    <row r="1290" spans="1:8" x14ac:dyDescent="0.3">
      <c r="A1290" s="5">
        <v>43875</v>
      </c>
      <c r="B1290" s="6">
        <v>9728.9003909999992</v>
      </c>
      <c r="C1290" s="6">
        <v>9746.3603519999997</v>
      </c>
      <c r="D1290" s="6">
        <v>9693.0498050000006</v>
      </c>
      <c r="E1290" s="6">
        <v>9731.1796880000002</v>
      </c>
      <c r="F1290" s="6">
        <v>9731.1796880000002</v>
      </c>
      <c r="G1290" s="4">
        <v>2222240000</v>
      </c>
      <c r="H1290">
        <f t="shared" si="20"/>
        <v>1.9760139513027289E-3</v>
      </c>
    </row>
    <row r="1291" spans="1:8" x14ac:dyDescent="0.3">
      <c r="A1291" s="5">
        <v>43879</v>
      </c>
      <c r="B1291" s="6">
        <v>9679.0400389999995</v>
      </c>
      <c r="C1291" s="6">
        <v>9747.6796880000002</v>
      </c>
      <c r="D1291" s="6">
        <v>9675.7998050000006</v>
      </c>
      <c r="E1291" s="6">
        <v>9732.7402340000008</v>
      </c>
      <c r="F1291" s="6">
        <v>9732.7402340000008</v>
      </c>
      <c r="G1291" s="4">
        <v>2273460000</v>
      </c>
      <c r="H1291">
        <f t="shared" si="20"/>
        <v>1.6035269458557935E-4</v>
      </c>
    </row>
    <row r="1292" spans="1:8" x14ac:dyDescent="0.3">
      <c r="A1292" s="5">
        <v>43880</v>
      </c>
      <c r="B1292" s="6">
        <v>9782.8095699999994</v>
      </c>
      <c r="C1292" s="6">
        <v>9838.3701170000004</v>
      </c>
      <c r="D1292" s="6">
        <v>9777.0996090000008</v>
      </c>
      <c r="E1292" s="6">
        <v>9817.1796880000002</v>
      </c>
      <c r="F1292" s="6">
        <v>9817.1796880000002</v>
      </c>
      <c r="G1292" s="4">
        <v>2462530000</v>
      </c>
      <c r="H1292">
        <f t="shared" si="20"/>
        <v>8.6383964151497648E-3</v>
      </c>
    </row>
    <row r="1293" spans="1:8" x14ac:dyDescent="0.3">
      <c r="A1293" s="5">
        <v>43881</v>
      </c>
      <c r="B1293" s="6">
        <v>9799.2001949999994</v>
      </c>
      <c r="C1293" s="6">
        <v>9820.8603519999997</v>
      </c>
      <c r="D1293" s="6">
        <v>9636.9404300000006</v>
      </c>
      <c r="E1293" s="6">
        <v>9750.9697269999997</v>
      </c>
      <c r="F1293" s="6">
        <v>9750.9697269999997</v>
      </c>
      <c r="G1293" s="4">
        <v>2735610000</v>
      </c>
      <c r="H1293">
        <f t="shared" si="20"/>
        <v>-6.7671410581516891E-3</v>
      </c>
    </row>
    <row r="1294" spans="1:8" x14ac:dyDescent="0.3">
      <c r="A1294" s="5">
        <v>43882</v>
      </c>
      <c r="B1294" s="6">
        <v>9708.0097659999992</v>
      </c>
      <c r="C1294" s="6">
        <v>9715.9501949999994</v>
      </c>
      <c r="D1294" s="6">
        <v>9542.3300780000009</v>
      </c>
      <c r="E1294" s="6">
        <v>9576.5898440000001</v>
      </c>
      <c r="F1294" s="6">
        <v>9576.5898440000001</v>
      </c>
      <c r="G1294" s="4">
        <v>2743010000</v>
      </c>
      <c r="H1294">
        <f t="shared" si="20"/>
        <v>-1.8045176811277739E-2</v>
      </c>
    </row>
    <row r="1295" spans="1:8" x14ac:dyDescent="0.3">
      <c r="A1295" s="5">
        <v>43885</v>
      </c>
      <c r="B1295" s="6">
        <v>9188.4404300000006</v>
      </c>
      <c r="C1295" s="6">
        <v>9322.8798829999996</v>
      </c>
      <c r="D1295" s="6">
        <v>9166.0097659999992</v>
      </c>
      <c r="E1295" s="6">
        <v>9221.2802730000003</v>
      </c>
      <c r="F1295" s="6">
        <v>9221.2802730000003</v>
      </c>
      <c r="G1295" s="4">
        <v>3177000000</v>
      </c>
      <c r="H1295">
        <f t="shared" si="20"/>
        <v>-3.7807676260689746E-2</v>
      </c>
    </row>
    <row r="1296" spans="1:8" x14ac:dyDescent="0.3">
      <c r="A1296" s="5">
        <v>43886</v>
      </c>
      <c r="B1296" s="6">
        <v>9301.2001949999994</v>
      </c>
      <c r="C1296" s="6">
        <v>9315.2597659999992</v>
      </c>
      <c r="D1296" s="6">
        <v>8940.4902340000008</v>
      </c>
      <c r="E1296" s="6">
        <v>8965.6103519999997</v>
      </c>
      <c r="F1296" s="6">
        <v>8965.6103519999997</v>
      </c>
      <c r="G1296" s="4">
        <v>3583400000</v>
      </c>
      <c r="H1296">
        <f t="shared" si="20"/>
        <v>-2.8117699781028876E-2</v>
      </c>
    </row>
    <row r="1297" spans="1:8" x14ac:dyDescent="0.3">
      <c r="A1297" s="5">
        <v>43887</v>
      </c>
      <c r="B1297" s="6">
        <v>9011.5498050000006</v>
      </c>
      <c r="C1297" s="6">
        <v>9148.3203130000002</v>
      </c>
      <c r="D1297" s="6">
        <v>8927.7998050000006</v>
      </c>
      <c r="E1297" s="6">
        <v>8980.7802730000003</v>
      </c>
      <c r="F1297" s="6">
        <v>8980.7802730000003</v>
      </c>
      <c r="G1297" s="4">
        <v>3567830000</v>
      </c>
      <c r="H1297">
        <f t="shared" si="20"/>
        <v>1.6905822379596725E-3</v>
      </c>
    </row>
    <row r="1298" spans="1:8" x14ac:dyDescent="0.3">
      <c r="A1298" s="5">
        <v>43888</v>
      </c>
      <c r="B1298" s="6">
        <v>8744.0302730000003</v>
      </c>
      <c r="C1298" s="6">
        <v>8904.1103519999997</v>
      </c>
      <c r="D1298" s="6">
        <v>8562.0498050000006</v>
      </c>
      <c r="E1298" s="6">
        <v>8566.4804690000001</v>
      </c>
      <c r="F1298" s="6">
        <v>8566.4804690000001</v>
      </c>
      <c r="G1298" s="4">
        <v>4536080000</v>
      </c>
      <c r="H1298">
        <f t="shared" si="20"/>
        <v>-4.7229800767803816E-2</v>
      </c>
    </row>
    <row r="1299" spans="1:8" x14ac:dyDescent="0.3">
      <c r="A1299" s="5">
        <v>43889</v>
      </c>
      <c r="B1299" s="6">
        <v>8269.7402340000008</v>
      </c>
      <c r="C1299" s="6">
        <v>8591.8203130000002</v>
      </c>
      <c r="D1299" s="6">
        <v>8264.1601559999999</v>
      </c>
      <c r="E1299" s="6">
        <v>8567.3701170000004</v>
      </c>
      <c r="F1299" s="6">
        <v>8567.3701170000004</v>
      </c>
      <c r="G1299" s="4">
        <v>5301170000</v>
      </c>
      <c r="H1299">
        <f t="shared" si="20"/>
        <v>1.0384682606334918E-4</v>
      </c>
    </row>
    <row r="1300" spans="1:8" x14ac:dyDescent="0.3">
      <c r="A1300" s="5">
        <v>43892</v>
      </c>
      <c r="B1300" s="6">
        <v>8667.1396480000003</v>
      </c>
      <c r="C1300" s="6">
        <v>8952.8095699999994</v>
      </c>
      <c r="D1300" s="6">
        <v>8543.3496090000008</v>
      </c>
      <c r="E1300" s="6">
        <v>8952.1699219999991</v>
      </c>
      <c r="F1300" s="6">
        <v>8952.1699219999991</v>
      </c>
      <c r="G1300" s="4">
        <v>4232760000</v>
      </c>
      <c r="H1300">
        <f t="shared" si="20"/>
        <v>4.3935137599406579E-2</v>
      </c>
    </row>
    <row r="1301" spans="1:8" x14ac:dyDescent="0.3">
      <c r="A1301" s="5">
        <v>43893</v>
      </c>
      <c r="B1301" s="6">
        <v>8965.0996090000008</v>
      </c>
      <c r="C1301" s="6">
        <v>9070.3203130000002</v>
      </c>
      <c r="D1301" s="6">
        <v>8602.8896480000003</v>
      </c>
      <c r="E1301" s="6">
        <v>8684.0898440000001</v>
      </c>
      <c r="F1301" s="6">
        <v>8684.0898440000001</v>
      </c>
      <c r="G1301" s="4">
        <v>4336700000</v>
      </c>
      <c r="H1301">
        <f t="shared" si="20"/>
        <v>-3.0403354400071941E-2</v>
      </c>
    </row>
    <row r="1302" spans="1:8" x14ac:dyDescent="0.3">
      <c r="A1302" s="5">
        <v>43894</v>
      </c>
      <c r="B1302" s="6">
        <v>8834.0996090000008</v>
      </c>
      <c r="C1302" s="6">
        <v>9019.9599610000005</v>
      </c>
      <c r="D1302" s="6">
        <v>8757.6601559999999</v>
      </c>
      <c r="E1302" s="6">
        <v>9018.0898440000001</v>
      </c>
      <c r="F1302" s="6">
        <v>9018.0898440000001</v>
      </c>
      <c r="G1302" s="4">
        <v>3602870000</v>
      </c>
      <c r="H1302">
        <f t="shared" si="20"/>
        <v>3.7739944804384792E-2</v>
      </c>
    </row>
    <row r="1303" spans="1:8" x14ac:dyDescent="0.3">
      <c r="A1303" s="5">
        <v>43895</v>
      </c>
      <c r="B1303" s="6">
        <v>8790.0898440000001</v>
      </c>
      <c r="C1303" s="6">
        <v>8921.0800780000009</v>
      </c>
      <c r="D1303" s="6">
        <v>8677.3896480000003</v>
      </c>
      <c r="E1303" s="6">
        <v>8738.5898440000001</v>
      </c>
      <c r="F1303" s="6">
        <v>8738.5898440000001</v>
      </c>
      <c r="G1303" s="4">
        <v>3748090000</v>
      </c>
      <c r="H1303">
        <f t="shared" si="20"/>
        <v>-3.1483711120614037E-2</v>
      </c>
    </row>
    <row r="1304" spans="1:8" x14ac:dyDescent="0.3">
      <c r="A1304" s="5">
        <v>43896</v>
      </c>
      <c r="B1304" s="6">
        <v>8469.0195309999999</v>
      </c>
      <c r="C1304" s="6">
        <v>8612.3603519999997</v>
      </c>
      <c r="D1304" s="6">
        <v>8375.1298829999996</v>
      </c>
      <c r="E1304" s="6">
        <v>8575.6201170000004</v>
      </c>
      <c r="F1304" s="6">
        <v>8575.6201170000004</v>
      </c>
      <c r="G1304" s="4">
        <v>4279850000</v>
      </c>
      <c r="H1304">
        <f t="shared" si="20"/>
        <v>-1.8825524281256733E-2</v>
      </c>
    </row>
    <row r="1305" spans="1:8" x14ac:dyDescent="0.3">
      <c r="A1305" s="5">
        <v>43899</v>
      </c>
      <c r="B1305" s="6">
        <v>7957.9301759999998</v>
      </c>
      <c r="C1305" s="6">
        <v>8243.3095699999994</v>
      </c>
      <c r="D1305" s="6">
        <v>7943.1601559999999</v>
      </c>
      <c r="E1305" s="6">
        <v>7950.6801759999998</v>
      </c>
      <c r="F1305" s="6">
        <v>7950.6801759999998</v>
      </c>
      <c r="G1305" s="4">
        <v>4530350000</v>
      </c>
      <c r="H1305">
        <f t="shared" si="20"/>
        <v>-7.5665825552546126E-2</v>
      </c>
    </row>
    <row r="1306" spans="1:8" x14ac:dyDescent="0.3">
      <c r="A1306" s="5">
        <v>43900</v>
      </c>
      <c r="B1306" s="6">
        <v>8219.7597659999992</v>
      </c>
      <c r="C1306" s="6">
        <v>8347.4003909999992</v>
      </c>
      <c r="D1306" s="6">
        <v>7930.4301759999998</v>
      </c>
      <c r="E1306" s="6">
        <v>8344.25</v>
      </c>
      <c r="F1306" s="6">
        <v>8344.25</v>
      </c>
      <c r="G1306" s="4">
        <v>4431930000</v>
      </c>
      <c r="H1306">
        <f t="shared" si="20"/>
        <v>4.8315197162687167E-2</v>
      </c>
    </row>
    <row r="1307" spans="1:8" x14ac:dyDescent="0.3">
      <c r="A1307" s="5">
        <v>43901</v>
      </c>
      <c r="B1307" s="6">
        <v>8136.25</v>
      </c>
      <c r="C1307" s="6">
        <v>8181.3598629999997</v>
      </c>
      <c r="D1307" s="6">
        <v>7850.9501950000003</v>
      </c>
      <c r="E1307" s="6">
        <v>7952.0498049999997</v>
      </c>
      <c r="F1307" s="6">
        <v>7952.0498049999997</v>
      </c>
      <c r="G1307" s="4">
        <v>4273890000</v>
      </c>
      <c r="H1307">
        <f t="shared" si="20"/>
        <v>-4.8142946359834841E-2</v>
      </c>
    </row>
    <row r="1308" spans="1:8" x14ac:dyDescent="0.3">
      <c r="A1308" s="5">
        <v>43902</v>
      </c>
      <c r="B1308" s="6">
        <v>7398.580078</v>
      </c>
      <c r="C1308" s="6">
        <v>7712.330078</v>
      </c>
      <c r="D1308" s="6">
        <v>7194.669922</v>
      </c>
      <c r="E1308" s="6">
        <v>7201.7998049999997</v>
      </c>
      <c r="F1308" s="6">
        <v>7201.7998049999997</v>
      </c>
      <c r="G1308" s="4">
        <v>5066530000</v>
      </c>
      <c r="H1308">
        <f t="shared" si="20"/>
        <v>-9.9098764838232017E-2</v>
      </c>
    </row>
    <row r="1309" spans="1:8" x14ac:dyDescent="0.3">
      <c r="A1309" s="5">
        <v>43903</v>
      </c>
      <c r="B1309" s="6">
        <v>7610.3901370000003</v>
      </c>
      <c r="C1309" s="6">
        <v>7875.9301759999998</v>
      </c>
      <c r="D1309" s="6">
        <v>7219.0898440000001</v>
      </c>
      <c r="E1309" s="6">
        <v>7874.8798829999996</v>
      </c>
      <c r="F1309" s="6">
        <v>7874.8798829999996</v>
      </c>
      <c r="G1309" s="4">
        <v>4685890000</v>
      </c>
      <c r="H1309">
        <f t="shared" si="20"/>
        <v>8.9346963942335877E-2</v>
      </c>
    </row>
    <row r="1310" spans="1:8" x14ac:dyDescent="0.3">
      <c r="A1310" s="5">
        <v>43906</v>
      </c>
      <c r="B1310" s="6">
        <v>7392.7299800000001</v>
      </c>
      <c r="C1310" s="6">
        <v>7422.2001950000003</v>
      </c>
      <c r="D1310" s="6">
        <v>6882.8598629999997</v>
      </c>
      <c r="E1310" s="6">
        <v>6904.5898440000001</v>
      </c>
      <c r="F1310" s="6">
        <v>6904.5898440000001</v>
      </c>
      <c r="G1310" s="4">
        <v>4594360000</v>
      </c>
      <c r="H1310">
        <f t="shared" si="20"/>
        <v>-0.13149154640115149</v>
      </c>
    </row>
    <row r="1311" spans="1:8" x14ac:dyDescent="0.3">
      <c r="A1311" s="5">
        <v>43907</v>
      </c>
      <c r="B1311" s="6">
        <v>7072</v>
      </c>
      <c r="C1311" s="6">
        <v>7406.2299800000001</v>
      </c>
      <c r="D1311" s="6">
        <v>6828.9101559999999</v>
      </c>
      <c r="E1311" s="6">
        <v>7334.7797849999997</v>
      </c>
      <c r="F1311" s="6">
        <v>7334.7797849999997</v>
      </c>
      <c r="G1311" s="4">
        <v>4900000000</v>
      </c>
      <c r="H1311">
        <f t="shared" si="20"/>
        <v>6.0441003407536567E-2</v>
      </c>
    </row>
    <row r="1312" spans="1:8" x14ac:dyDescent="0.3">
      <c r="A1312" s="5">
        <v>43908</v>
      </c>
      <c r="B1312" s="6">
        <v>6902.3198240000002</v>
      </c>
      <c r="C1312" s="6">
        <v>7182.830078</v>
      </c>
      <c r="D1312" s="6">
        <v>6686.3598629999997</v>
      </c>
      <c r="E1312" s="6">
        <v>6989.8398440000001</v>
      </c>
      <c r="F1312" s="6">
        <v>6989.8398440000001</v>
      </c>
      <c r="G1312" s="4">
        <v>4890820000</v>
      </c>
      <c r="H1312">
        <f t="shared" si="20"/>
        <v>-4.8169744826370903E-2</v>
      </c>
    </row>
    <row r="1313" spans="1:8" x14ac:dyDescent="0.3">
      <c r="A1313" s="5">
        <v>43909</v>
      </c>
      <c r="B1313" s="6">
        <v>6996.4501950000003</v>
      </c>
      <c r="C1313" s="6">
        <v>7341.3798829999996</v>
      </c>
      <c r="D1313" s="6">
        <v>6858.3798829999996</v>
      </c>
      <c r="E1313" s="6">
        <v>7150.580078</v>
      </c>
      <c r="F1313" s="6">
        <v>7150.580078</v>
      </c>
      <c r="G1313" s="4">
        <v>4762170000</v>
      </c>
      <c r="H1313">
        <f t="shared" si="20"/>
        <v>2.2735839382280198E-2</v>
      </c>
    </row>
    <row r="1314" spans="1:8" x14ac:dyDescent="0.3">
      <c r="A1314" s="5">
        <v>43910</v>
      </c>
      <c r="B1314" s="6">
        <v>7248.0698240000002</v>
      </c>
      <c r="C1314" s="6">
        <v>7354.4399409999996</v>
      </c>
      <c r="D1314" s="6">
        <v>6854.669922</v>
      </c>
      <c r="E1314" s="6">
        <v>6879.5200199999999</v>
      </c>
      <c r="F1314" s="6">
        <v>6879.5200199999999</v>
      </c>
      <c r="G1314" s="4">
        <v>5239940000</v>
      </c>
      <c r="H1314">
        <f t="shared" si="20"/>
        <v>-3.864459822857242E-2</v>
      </c>
    </row>
    <row r="1315" spans="1:8" x14ac:dyDescent="0.3">
      <c r="A1315" s="5">
        <v>43913</v>
      </c>
      <c r="B1315" s="6">
        <v>6847.2797849999997</v>
      </c>
      <c r="C1315" s="6">
        <v>6984.9399409999996</v>
      </c>
      <c r="D1315" s="6">
        <v>6631.419922</v>
      </c>
      <c r="E1315" s="6">
        <v>6860.669922</v>
      </c>
      <c r="F1315" s="6">
        <v>6860.669922</v>
      </c>
      <c r="G1315" s="4">
        <v>4330610000</v>
      </c>
      <c r="H1315">
        <f t="shared" si="20"/>
        <v>-2.7437917387577453E-3</v>
      </c>
    </row>
    <row r="1316" spans="1:8" x14ac:dyDescent="0.3">
      <c r="A1316" s="5">
        <v>43914</v>
      </c>
      <c r="B1316" s="6">
        <v>7196.1499020000001</v>
      </c>
      <c r="C1316" s="6">
        <v>7418.3701170000004</v>
      </c>
      <c r="D1316" s="6">
        <v>7169.8598629999997</v>
      </c>
      <c r="E1316" s="6">
        <v>7417.8598629999997</v>
      </c>
      <c r="F1316" s="6">
        <v>7417.8598629999997</v>
      </c>
      <c r="G1316" s="4">
        <v>4417380000</v>
      </c>
      <c r="H1316">
        <f t="shared" si="20"/>
        <v>7.8085494170816921E-2</v>
      </c>
    </row>
    <row r="1317" spans="1:8" x14ac:dyDescent="0.3">
      <c r="A1317" s="5">
        <v>43915</v>
      </c>
      <c r="B1317" s="6">
        <v>7421.3598629999997</v>
      </c>
      <c r="C1317" s="6">
        <v>7671.2099609999996</v>
      </c>
      <c r="D1317" s="6">
        <v>7276.3999020000001</v>
      </c>
      <c r="E1317" s="6">
        <v>7384.2998049999997</v>
      </c>
      <c r="F1317" s="6">
        <v>7384.2998049999997</v>
      </c>
      <c r="G1317" s="4">
        <v>4666440000</v>
      </c>
      <c r="H1317">
        <f t="shared" si="20"/>
        <v>-4.5344890552082616E-3</v>
      </c>
    </row>
    <row r="1318" spans="1:8" x14ac:dyDescent="0.3">
      <c r="A1318" s="5">
        <v>43916</v>
      </c>
      <c r="B1318" s="6">
        <v>7462.2099609999996</v>
      </c>
      <c r="C1318" s="6">
        <v>7809.830078</v>
      </c>
      <c r="D1318" s="6">
        <v>7462.2099609999996</v>
      </c>
      <c r="E1318" s="6">
        <v>7797.5400390000004</v>
      </c>
      <c r="F1318" s="6">
        <v>7797.5400390000004</v>
      </c>
      <c r="G1318" s="4">
        <v>3999850000</v>
      </c>
      <c r="H1318">
        <f t="shared" si="20"/>
        <v>5.4452205983990691E-2</v>
      </c>
    </row>
    <row r="1319" spans="1:8" x14ac:dyDescent="0.3">
      <c r="A1319" s="5">
        <v>43917</v>
      </c>
      <c r="B1319" s="6">
        <v>7554.25</v>
      </c>
      <c r="C1319" s="6">
        <v>7716.2402339999999</v>
      </c>
      <c r="D1319" s="6">
        <v>7491.1401370000003</v>
      </c>
      <c r="E1319" s="6">
        <v>7502.3798829999996</v>
      </c>
      <c r="F1319" s="6">
        <v>7502.3798829999996</v>
      </c>
      <c r="G1319" s="4">
        <v>3977010000</v>
      </c>
      <c r="H1319">
        <f t="shared" si="20"/>
        <v>-3.8588016396577864E-2</v>
      </c>
    </row>
    <row r="1320" spans="1:8" x14ac:dyDescent="0.3">
      <c r="A1320" s="5">
        <v>43920</v>
      </c>
      <c r="B1320" s="6">
        <v>7583.4599609999996</v>
      </c>
      <c r="C1320" s="6">
        <v>7784.3500979999999</v>
      </c>
      <c r="D1320" s="6">
        <v>7539.9702150000003</v>
      </c>
      <c r="E1320" s="6">
        <v>7774.1499020000001</v>
      </c>
      <c r="F1320" s="6">
        <v>7774.1499020000001</v>
      </c>
      <c r="G1320" s="4">
        <v>3846900000</v>
      </c>
      <c r="H1320">
        <f t="shared" si="20"/>
        <v>3.5583826783214784E-2</v>
      </c>
    </row>
    <row r="1321" spans="1:8" x14ac:dyDescent="0.3">
      <c r="A1321" s="5">
        <v>43921</v>
      </c>
      <c r="B1321" s="6">
        <v>7740.0600590000004</v>
      </c>
      <c r="C1321" s="6">
        <v>7880.3100590000004</v>
      </c>
      <c r="D1321" s="6">
        <v>7642.8598629999997</v>
      </c>
      <c r="E1321" s="6">
        <v>7700.1000979999999</v>
      </c>
      <c r="F1321" s="6">
        <v>7700.1000979999999</v>
      </c>
      <c r="G1321" s="4">
        <v>4059700000</v>
      </c>
      <c r="H1321">
        <f t="shared" si="20"/>
        <v>-9.570786208786564E-3</v>
      </c>
    </row>
    <row r="1322" spans="1:8" x14ac:dyDescent="0.3">
      <c r="A1322" s="5">
        <v>43922</v>
      </c>
      <c r="B1322" s="6">
        <v>7459.5</v>
      </c>
      <c r="C1322" s="6">
        <v>7566.3701170000004</v>
      </c>
      <c r="D1322" s="6">
        <v>7301.9799800000001</v>
      </c>
      <c r="E1322" s="6">
        <v>7360.580078</v>
      </c>
      <c r="F1322" s="6">
        <v>7360.580078</v>
      </c>
      <c r="G1322" s="4">
        <v>3685510000</v>
      </c>
      <c r="H1322">
        <f t="shared" si="20"/>
        <v>-4.5094583934699603E-2</v>
      </c>
    </row>
    <row r="1323" spans="1:8" x14ac:dyDescent="0.3">
      <c r="A1323" s="5">
        <v>43923</v>
      </c>
      <c r="B1323" s="6">
        <v>7317.4501950000003</v>
      </c>
      <c r="C1323" s="6">
        <v>7501.7001950000003</v>
      </c>
      <c r="D1323" s="6">
        <v>7307.9501950000003</v>
      </c>
      <c r="E1323" s="6">
        <v>7487.3100590000004</v>
      </c>
      <c r="F1323" s="6">
        <v>7487.3100590000004</v>
      </c>
      <c r="G1323" s="4">
        <v>3608190000</v>
      </c>
      <c r="H1323">
        <f t="shared" si="20"/>
        <v>1.7070850792854989E-2</v>
      </c>
    </row>
    <row r="1324" spans="1:8" x14ac:dyDescent="0.3">
      <c r="A1324" s="5">
        <v>43924</v>
      </c>
      <c r="B1324" s="6">
        <v>7477.2700199999999</v>
      </c>
      <c r="C1324" s="6">
        <v>7518.7202150000003</v>
      </c>
      <c r="D1324" s="6">
        <v>7288.1098629999997</v>
      </c>
      <c r="E1324" s="6">
        <v>7373.080078</v>
      </c>
      <c r="F1324" s="6">
        <v>7373.080078</v>
      </c>
      <c r="G1324" s="4">
        <v>3279100000</v>
      </c>
      <c r="H1324">
        <f t="shared" si="20"/>
        <v>-1.5374055445775189E-2</v>
      </c>
    </row>
    <row r="1325" spans="1:8" x14ac:dyDescent="0.3">
      <c r="A1325" s="5">
        <v>43927</v>
      </c>
      <c r="B1325" s="6">
        <v>7660.169922</v>
      </c>
      <c r="C1325" s="6">
        <v>7938.330078</v>
      </c>
      <c r="D1325" s="6">
        <v>7617.7900390000004</v>
      </c>
      <c r="E1325" s="6">
        <v>7913.2402339999999</v>
      </c>
      <c r="F1325" s="6">
        <v>7913.2402339999999</v>
      </c>
      <c r="G1325" s="4">
        <v>3849100000</v>
      </c>
      <c r="H1325">
        <f t="shared" si="20"/>
        <v>7.0701795647004725E-2</v>
      </c>
    </row>
    <row r="1326" spans="1:8" x14ac:dyDescent="0.3">
      <c r="A1326" s="5">
        <v>43928</v>
      </c>
      <c r="B1326" s="6">
        <v>8129.9902339999999</v>
      </c>
      <c r="C1326" s="6">
        <v>8146.4301759999998</v>
      </c>
      <c r="D1326" s="6">
        <v>7881.2202150000003</v>
      </c>
      <c r="E1326" s="6">
        <v>7887.2597660000001</v>
      </c>
      <c r="F1326" s="6">
        <v>7887.2597660000001</v>
      </c>
      <c r="G1326" s="4">
        <v>4069410000</v>
      </c>
      <c r="H1326">
        <f t="shared" si="20"/>
        <v>-3.2885657307257063E-3</v>
      </c>
    </row>
    <row r="1327" spans="1:8" x14ac:dyDescent="0.3">
      <c r="A1327" s="5">
        <v>43929</v>
      </c>
      <c r="B1327" s="6">
        <v>7975.7202150000003</v>
      </c>
      <c r="C1327" s="6">
        <v>8114.4301759999998</v>
      </c>
      <c r="D1327" s="6">
        <v>7901.9399409999996</v>
      </c>
      <c r="E1327" s="6">
        <v>8090.8999020000001</v>
      </c>
      <c r="F1327" s="6">
        <v>8090.8999020000001</v>
      </c>
      <c r="G1327" s="4">
        <v>3470730000</v>
      </c>
      <c r="H1327">
        <f t="shared" si="20"/>
        <v>2.5491191381198052E-2</v>
      </c>
    </row>
    <row r="1328" spans="1:8" x14ac:dyDescent="0.3">
      <c r="A1328" s="5">
        <v>43930</v>
      </c>
      <c r="B1328" s="6">
        <v>8169.0097660000001</v>
      </c>
      <c r="C1328" s="6">
        <v>8227.9101559999999</v>
      </c>
      <c r="D1328" s="6">
        <v>8072.3198240000002</v>
      </c>
      <c r="E1328" s="6">
        <v>8153.580078</v>
      </c>
      <c r="F1328" s="6">
        <v>8153.580078</v>
      </c>
      <c r="G1328" s="4">
        <v>4123670000</v>
      </c>
      <c r="H1328">
        <f t="shared" si="20"/>
        <v>7.7171429494415295E-3</v>
      </c>
    </row>
    <row r="1329" spans="1:8" x14ac:dyDescent="0.3">
      <c r="A1329" s="5">
        <v>43934</v>
      </c>
      <c r="B1329" s="6">
        <v>8127.6899409999996</v>
      </c>
      <c r="C1329" s="6">
        <v>8200.4404300000006</v>
      </c>
      <c r="D1329" s="6">
        <v>8035.9501950000003</v>
      </c>
      <c r="E1329" s="6">
        <v>8192.4199219999991</v>
      </c>
      <c r="F1329" s="6">
        <v>8192.4199219999991</v>
      </c>
      <c r="G1329" s="4">
        <v>3146860000</v>
      </c>
      <c r="H1329">
        <f t="shared" si="20"/>
        <v>4.7522228184672943E-3</v>
      </c>
    </row>
    <row r="1330" spans="1:8" x14ac:dyDescent="0.3">
      <c r="A1330" s="5">
        <v>43935</v>
      </c>
      <c r="B1330" s="6">
        <v>8353.2099610000005</v>
      </c>
      <c r="C1330" s="6">
        <v>8531.1103519999997</v>
      </c>
      <c r="D1330" s="6">
        <v>8338.0800780000009</v>
      </c>
      <c r="E1330" s="6">
        <v>8515.7402340000008</v>
      </c>
      <c r="F1330" s="6">
        <v>8515.7402340000008</v>
      </c>
      <c r="G1330" s="4">
        <v>3732820000</v>
      </c>
      <c r="H1330">
        <f t="shared" si="20"/>
        <v>3.8706916284901791E-2</v>
      </c>
    </row>
    <row r="1331" spans="1:8" x14ac:dyDescent="0.3">
      <c r="A1331" s="5">
        <v>43936</v>
      </c>
      <c r="B1331" s="6">
        <v>8355.9599610000005</v>
      </c>
      <c r="C1331" s="6">
        <v>8464.6601559999999</v>
      </c>
      <c r="D1331" s="6">
        <v>8308.7900389999995</v>
      </c>
      <c r="E1331" s="6">
        <v>8393.1796880000002</v>
      </c>
      <c r="F1331" s="6">
        <v>8393.1796880000002</v>
      </c>
      <c r="G1331" s="4">
        <v>3333750000</v>
      </c>
      <c r="H1331">
        <f t="shared" si="20"/>
        <v>-1.4496809136924986E-2</v>
      </c>
    </row>
    <row r="1332" spans="1:8" x14ac:dyDescent="0.3">
      <c r="A1332" s="5">
        <v>43937</v>
      </c>
      <c r="B1332" s="6">
        <v>8479.1103519999997</v>
      </c>
      <c r="C1332" s="6">
        <v>8560.1601559999999</v>
      </c>
      <c r="D1332" s="6">
        <v>8393.2695309999999</v>
      </c>
      <c r="E1332" s="6">
        <v>8532.3603519999997</v>
      </c>
      <c r="F1332" s="6">
        <v>8532.3603519999997</v>
      </c>
      <c r="G1332" s="4">
        <v>3995870000</v>
      </c>
      <c r="H1332">
        <f t="shared" si="20"/>
        <v>1.6446600925345348E-2</v>
      </c>
    </row>
    <row r="1333" spans="1:8" x14ac:dyDescent="0.3">
      <c r="A1333" s="5">
        <v>43938</v>
      </c>
      <c r="B1333" s="6">
        <v>8667.4804690000001</v>
      </c>
      <c r="C1333" s="6">
        <v>8670.2998050000006</v>
      </c>
      <c r="D1333" s="6">
        <v>8531.6904300000006</v>
      </c>
      <c r="E1333" s="6">
        <v>8650.1396480000003</v>
      </c>
      <c r="F1333" s="6">
        <v>8650.1396480000003</v>
      </c>
      <c r="G1333" s="4">
        <v>4335020000</v>
      </c>
      <c r="H1333">
        <f t="shared" si="20"/>
        <v>1.3709430024436937E-2</v>
      </c>
    </row>
    <row r="1334" spans="1:8" x14ac:dyDescent="0.3">
      <c r="A1334" s="5">
        <v>43941</v>
      </c>
      <c r="B1334" s="6">
        <v>8553.3798829999996</v>
      </c>
      <c r="C1334" s="6">
        <v>8684.9101559999999</v>
      </c>
      <c r="D1334" s="6">
        <v>8553.3798829999996</v>
      </c>
      <c r="E1334" s="6">
        <v>8560.7304690000001</v>
      </c>
      <c r="F1334" s="6">
        <v>8560.7304690000001</v>
      </c>
      <c r="G1334" s="4">
        <v>3796950000</v>
      </c>
      <c r="H1334">
        <f t="shared" si="20"/>
        <v>-1.0389943414562969E-2</v>
      </c>
    </row>
    <row r="1335" spans="1:8" x14ac:dyDescent="0.3">
      <c r="A1335" s="5">
        <v>43942</v>
      </c>
      <c r="B1335" s="6">
        <v>8460.6904300000006</v>
      </c>
      <c r="C1335" s="6">
        <v>8480.2900389999995</v>
      </c>
      <c r="D1335" s="6">
        <v>8215.6904300000006</v>
      </c>
      <c r="E1335" s="6">
        <v>8263.2304690000001</v>
      </c>
      <c r="F1335" s="6">
        <v>8263.2304690000001</v>
      </c>
      <c r="G1335" s="4">
        <v>3756290000</v>
      </c>
      <c r="H1335">
        <f t="shared" si="20"/>
        <v>-3.5369912660454313E-2</v>
      </c>
    </row>
    <row r="1336" spans="1:8" x14ac:dyDescent="0.3">
      <c r="A1336" s="5">
        <v>43943</v>
      </c>
      <c r="B1336" s="6">
        <v>8434.5498050000006</v>
      </c>
      <c r="C1336" s="6">
        <v>8537.3095699999994</v>
      </c>
      <c r="D1336" s="6">
        <v>8404.5400389999995</v>
      </c>
      <c r="E1336" s="6">
        <v>8495.3798829999996</v>
      </c>
      <c r="F1336" s="6">
        <v>8495.3798829999996</v>
      </c>
      <c r="G1336" s="4">
        <v>3025060000</v>
      </c>
      <c r="H1336">
        <f t="shared" si="20"/>
        <v>2.7706863530748076E-2</v>
      </c>
    </row>
    <row r="1337" spans="1:8" x14ac:dyDescent="0.3">
      <c r="A1337" s="5">
        <v>43944</v>
      </c>
      <c r="B1337" s="6">
        <v>8528.8398440000001</v>
      </c>
      <c r="C1337" s="6">
        <v>8635.2304690000001</v>
      </c>
      <c r="D1337" s="6">
        <v>8475.2001949999994</v>
      </c>
      <c r="E1337" s="6">
        <v>8494.75</v>
      </c>
      <c r="F1337" s="6">
        <v>8494.75</v>
      </c>
      <c r="G1337" s="4">
        <v>3734720000</v>
      </c>
      <c r="H1337">
        <f t="shared" si="20"/>
        <v>-7.4146931733427274E-5</v>
      </c>
    </row>
    <row r="1338" spans="1:8" x14ac:dyDescent="0.3">
      <c r="A1338" s="5">
        <v>43945</v>
      </c>
      <c r="B1338" s="6">
        <v>8530.0800780000009</v>
      </c>
      <c r="C1338" s="6">
        <v>8642.9296880000002</v>
      </c>
      <c r="D1338" s="6">
        <v>8464.4199219999991</v>
      </c>
      <c r="E1338" s="6">
        <v>8634.5195309999999</v>
      </c>
      <c r="F1338" s="6">
        <v>8634.5195309999999</v>
      </c>
      <c r="G1338" s="4">
        <v>3673170000</v>
      </c>
      <c r="H1338">
        <f t="shared" si="20"/>
        <v>1.6319742397425188E-2</v>
      </c>
    </row>
    <row r="1339" spans="1:8" x14ac:dyDescent="0.3">
      <c r="A1339" s="5">
        <v>43948</v>
      </c>
      <c r="B1339" s="6">
        <v>8717.9804690000001</v>
      </c>
      <c r="C1339" s="6">
        <v>8754.5703130000002</v>
      </c>
      <c r="D1339" s="6">
        <v>8697.3701170000004</v>
      </c>
      <c r="E1339" s="6">
        <v>8730.1601559999999</v>
      </c>
      <c r="F1339" s="6">
        <v>8730.1601559999999</v>
      </c>
      <c r="G1339" s="4">
        <v>3678460000</v>
      </c>
      <c r="H1339">
        <f t="shared" si="20"/>
        <v>1.1015647146257182E-2</v>
      </c>
    </row>
    <row r="1340" spans="1:8" x14ac:dyDescent="0.3">
      <c r="A1340" s="5">
        <v>43949</v>
      </c>
      <c r="B1340" s="6">
        <v>8825.6904300000006</v>
      </c>
      <c r="C1340" s="6">
        <v>8830.5703130000002</v>
      </c>
      <c r="D1340" s="6">
        <v>8600.7001949999994</v>
      </c>
      <c r="E1340" s="6">
        <v>8607.7304690000001</v>
      </c>
      <c r="F1340" s="6">
        <v>8607.7304690000001</v>
      </c>
      <c r="G1340" s="4">
        <v>3707540000</v>
      </c>
      <c r="H1340">
        <f t="shared" si="20"/>
        <v>-1.4123023916202406E-2</v>
      </c>
    </row>
    <row r="1341" spans="1:8" x14ac:dyDescent="0.3">
      <c r="A1341" s="5">
        <v>43950</v>
      </c>
      <c r="B1341" s="6">
        <v>8802.7001949999994</v>
      </c>
      <c r="C1341" s="6">
        <v>8957.2695309999999</v>
      </c>
      <c r="D1341" s="6">
        <v>8765.0097659999992</v>
      </c>
      <c r="E1341" s="6">
        <v>8914.7099610000005</v>
      </c>
      <c r="F1341" s="6">
        <v>8914.7099610000005</v>
      </c>
      <c r="G1341" s="4">
        <v>4378540000</v>
      </c>
      <c r="H1341">
        <f t="shared" si="20"/>
        <v>3.504202572405761E-2</v>
      </c>
    </row>
    <row r="1342" spans="1:8" x14ac:dyDescent="0.3">
      <c r="A1342" s="5">
        <v>43951</v>
      </c>
      <c r="B1342" s="6">
        <v>8911.0195309999999</v>
      </c>
      <c r="C1342" s="6">
        <v>8926.1103519999997</v>
      </c>
      <c r="D1342" s="6">
        <v>8825.8300780000009</v>
      </c>
      <c r="E1342" s="6">
        <v>8889.5498050000006</v>
      </c>
      <c r="F1342" s="6">
        <v>8889.5498050000006</v>
      </c>
      <c r="G1342" s="4">
        <v>4316380000</v>
      </c>
      <c r="H1342">
        <f t="shared" si="20"/>
        <v>-2.8263093303517528E-3</v>
      </c>
    </row>
    <row r="1343" spans="1:8" x14ac:dyDescent="0.3">
      <c r="A1343" s="5">
        <v>43952</v>
      </c>
      <c r="B1343" s="6">
        <v>8681.2900389999995</v>
      </c>
      <c r="C1343" s="6">
        <v>8754.4599610000005</v>
      </c>
      <c r="D1343" s="6">
        <v>8566.8398440000001</v>
      </c>
      <c r="E1343" s="6">
        <v>8604.9501949999994</v>
      </c>
      <c r="F1343" s="6">
        <v>8604.9501949999994</v>
      </c>
      <c r="G1343" s="4">
        <v>3722520000</v>
      </c>
      <c r="H1343">
        <f t="shared" si="20"/>
        <v>-3.2538765903361196E-2</v>
      </c>
    </row>
    <row r="1344" spans="1:8" x14ac:dyDescent="0.3">
      <c r="A1344" s="5">
        <v>43955</v>
      </c>
      <c r="B1344" s="6">
        <v>8555.3203130000002</v>
      </c>
      <c r="C1344" s="6">
        <v>8715.8203130000002</v>
      </c>
      <c r="D1344" s="6">
        <v>8537.8300780000009</v>
      </c>
      <c r="E1344" s="6">
        <v>8710.7099610000005</v>
      </c>
      <c r="F1344" s="6">
        <v>8710.7099610000005</v>
      </c>
      <c r="G1344" s="4">
        <v>3422150000</v>
      </c>
      <c r="H1344">
        <f t="shared" si="20"/>
        <v>1.2215656831633472E-2</v>
      </c>
    </row>
    <row r="1345" spans="1:8" x14ac:dyDescent="0.3">
      <c r="A1345" s="5">
        <v>43956</v>
      </c>
      <c r="B1345" s="6">
        <v>8809.6601559999999</v>
      </c>
      <c r="C1345" s="6">
        <v>8909.9599610000005</v>
      </c>
      <c r="D1345" s="6">
        <v>8781.3095699999994</v>
      </c>
      <c r="E1345" s="6">
        <v>8809.1201170000004</v>
      </c>
      <c r="F1345" s="6">
        <v>8809.1201170000004</v>
      </c>
      <c r="G1345" s="4">
        <v>3913360000</v>
      </c>
      <c r="H1345">
        <f t="shared" si="20"/>
        <v>1.1234263183785377E-2</v>
      </c>
    </row>
    <row r="1346" spans="1:8" x14ac:dyDescent="0.3">
      <c r="A1346" s="5">
        <v>43957</v>
      </c>
      <c r="B1346" s="6">
        <v>8874.7001949999994</v>
      </c>
      <c r="C1346" s="6">
        <v>8933.25</v>
      </c>
      <c r="D1346" s="6">
        <v>8819.3701170000004</v>
      </c>
      <c r="E1346" s="6">
        <v>8854.3896480000003</v>
      </c>
      <c r="F1346" s="6">
        <v>8854.3896480000003</v>
      </c>
      <c r="G1346" s="4">
        <v>3620030000</v>
      </c>
      <c r="H1346">
        <f t="shared" si="20"/>
        <v>5.1257797253697075E-3</v>
      </c>
    </row>
    <row r="1347" spans="1:8" x14ac:dyDescent="0.3">
      <c r="A1347" s="5">
        <v>43958</v>
      </c>
      <c r="B1347" s="6">
        <v>8973.7802730000003</v>
      </c>
      <c r="C1347" s="6">
        <v>9015.9902340000008</v>
      </c>
      <c r="D1347" s="6">
        <v>8932.8603519999997</v>
      </c>
      <c r="E1347" s="6">
        <v>8979.6601559999999</v>
      </c>
      <c r="F1347" s="6">
        <v>8979.6601559999999</v>
      </c>
      <c r="G1347" s="4">
        <v>3762070000</v>
      </c>
      <c r="H1347">
        <f t="shared" si="20"/>
        <v>1.4048695581018011E-2</v>
      </c>
    </row>
    <row r="1348" spans="1:8" x14ac:dyDescent="0.3">
      <c r="A1348" s="5">
        <v>43959</v>
      </c>
      <c r="B1348" s="6">
        <v>9056.8896480000003</v>
      </c>
      <c r="C1348" s="6">
        <v>9125.9804690000001</v>
      </c>
      <c r="D1348" s="6">
        <v>9018.2099610000005</v>
      </c>
      <c r="E1348" s="6">
        <v>9121.3203130000002</v>
      </c>
      <c r="F1348" s="6">
        <v>9121.3203130000002</v>
      </c>
      <c r="G1348" s="4">
        <v>3777340000</v>
      </c>
      <c r="H1348">
        <f t="shared" ref="H1348:H1411" si="21">LN(E1348/E1347)</f>
        <v>1.5652527715631814E-2</v>
      </c>
    </row>
    <row r="1349" spans="1:8" x14ac:dyDescent="0.3">
      <c r="A1349" s="5">
        <v>43962</v>
      </c>
      <c r="B1349" s="6">
        <v>9054.9101559999999</v>
      </c>
      <c r="C1349" s="6">
        <v>9241.9199219999991</v>
      </c>
      <c r="D1349" s="6">
        <v>9053.1699219999991</v>
      </c>
      <c r="E1349" s="6">
        <v>9192.3398440000001</v>
      </c>
      <c r="F1349" s="6">
        <v>9192.3398440000001</v>
      </c>
      <c r="G1349" s="4">
        <v>3898690000</v>
      </c>
      <c r="H1349">
        <f t="shared" si="21"/>
        <v>7.7559468073646522E-3</v>
      </c>
    </row>
    <row r="1350" spans="1:8" x14ac:dyDescent="0.3">
      <c r="A1350" s="5">
        <v>43963</v>
      </c>
      <c r="B1350" s="6">
        <v>9225.1503909999992</v>
      </c>
      <c r="C1350" s="6">
        <v>9250.9599610000005</v>
      </c>
      <c r="D1350" s="6">
        <v>9000.0703130000002</v>
      </c>
      <c r="E1350" s="6">
        <v>9002.5498050000006</v>
      </c>
      <c r="F1350" s="6">
        <v>9002.5498050000006</v>
      </c>
      <c r="G1350" s="4">
        <v>4315070000</v>
      </c>
      <c r="H1350">
        <f t="shared" si="21"/>
        <v>-2.0862662699837602E-2</v>
      </c>
    </row>
    <row r="1351" spans="1:8" x14ac:dyDescent="0.3">
      <c r="A1351" s="5">
        <v>43964</v>
      </c>
      <c r="B1351" s="6">
        <v>9006.0498050000006</v>
      </c>
      <c r="C1351" s="6">
        <v>9074.1601559999999</v>
      </c>
      <c r="D1351" s="6">
        <v>8752.6796880000002</v>
      </c>
      <c r="E1351" s="6">
        <v>8863.1699219999991</v>
      </c>
      <c r="F1351" s="6">
        <v>8863.1699219999991</v>
      </c>
      <c r="G1351" s="4">
        <v>4244110000</v>
      </c>
      <c r="H1351">
        <f t="shared" si="21"/>
        <v>-1.5603369241599841E-2</v>
      </c>
    </row>
    <row r="1352" spans="1:8" x14ac:dyDescent="0.3">
      <c r="A1352" s="5">
        <v>43965</v>
      </c>
      <c r="B1352" s="6">
        <v>8788.0400389999995</v>
      </c>
      <c r="C1352" s="6">
        <v>8945.7099610000005</v>
      </c>
      <c r="D1352" s="6">
        <v>8705.25</v>
      </c>
      <c r="E1352" s="6">
        <v>8943.7197269999997</v>
      </c>
      <c r="F1352" s="6">
        <v>8943.7197269999997</v>
      </c>
      <c r="G1352" s="4">
        <v>3945080000</v>
      </c>
      <c r="H1352">
        <f t="shared" si="21"/>
        <v>9.0470998589779091E-3</v>
      </c>
    </row>
    <row r="1353" spans="1:8" x14ac:dyDescent="0.3">
      <c r="A1353" s="5">
        <v>43966</v>
      </c>
      <c r="B1353" s="6">
        <v>8839.9902340000008</v>
      </c>
      <c r="C1353" s="6">
        <v>9018.4003909999992</v>
      </c>
      <c r="D1353" s="6">
        <v>8821.3798829999996</v>
      </c>
      <c r="E1353" s="6">
        <v>9014.5595699999994</v>
      </c>
      <c r="F1353" s="6">
        <v>9014.5595699999994</v>
      </c>
      <c r="G1353" s="4">
        <v>4221500000</v>
      </c>
      <c r="H1353">
        <f t="shared" si="21"/>
        <v>7.8894207254672204E-3</v>
      </c>
    </row>
    <row r="1354" spans="1:8" x14ac:dyDescent="0.3">
      <c r="A1354" s="5">
        <v>43969</v>
      </c>
      <c r="B1354" s="6">
        <v>9177.1503909999992</v>
      </c>
      <c r="C1354" s="6">
        <v>9267.2197269999997</v>
      </c>
      <c r="D1354" s="6">
        <v>9154.3496090000008</v>
      </c>
      <c r="E1354" s="6">
        <v>9234.8300780000009</v>
      </c>
      <c r="F1354" s="6">
        <v>9234.8300780000009</v>
      </c>
      <c r="G1354" s="4">
        <v>4318310000</v>
      </c>
      <c r="H1354">
        <f t="shared" si="21"/>
        <v>2.4141213477932792E-2</v>
      </c>
    </row>
    <row r="1355" spans="1:8" x14ac:dyDescent="0.3">
      <c r="A1355" s="5">
        <v>43970</v>
      </c>
      <c r="B1355" s="6">
        <v>9227.4599610000005</v>
      </c>
      <c r="C1355" s="6">
        <v>9317.25</v>
      </c>
      <c r="D1355" s="6">
        <v>9183.25</v>
      </c>
      <c r="E1355" s="6">
        <v>9185.0996090000008</v>
      </c>
      <c r="F1355" s="6">
        <v>9185.0996090000008</v>
      </c>
      <c r="G1355" s="4">
        <v>4144770000</v>
      </c>
      <c r="H1355">
        <f t="shared" si="21"/>
        <v>-5.39965034333755E-3</v>
      </c>
    </row>
    <row r="1356" spans="1:8" x14ac:dyDescent="0.3">
      <c r="A1356" s="5">
        <v>43971</v>
      </c>
      <c r="B1356" s="6">
        <v>9305.6201170000004</v>
      </c>
      <c r="C1356" s="6">
        <v>9392.8203130000002</v>
      </c>
      <c r="D1356" s="6">
        <v>9304.2001949999994</v>
      </c>
      <c r="E1356" s="6">
        <v>9375.7802730000003</v>
      </c>
      <c r="F1356" s="6">
        <v>9375.7802730000003</v>
      </c>
      <c r="G1356" s="4">
        <v>4292470000</v>
      </c>
      <c r="H1356">
        <f t="shared" si="21"/>
        <v>2.0547234157968483E-2</v>
      </c>
    </row>
    <row r="1357" spans="1:8" x14ac:dyDescent="0.3">
      <c r="A1357" s="5">
        <v>43972</v>
      </c>
      <c r="B1357" s="6">
        <v>9375.1904300000006</v>
      </c>
      <c r="C1357" s="6">
        <v>9405.25</v>
      </c>
      <c r="D1357" s="6">
        <v>9254.8496090000008</v>
      </c>
      <c r="E1357" s="6">
        <v>9284.8798829999996</v>
      </c>
      <c r="F1357" s="6">
        <v>9284.8798829999996</v>
      </c>
      <c r="G1357" s="4">
        <v>3725950000</v>
      </c>
      <c r="H1357">
        <f t="shared" si="21"/>
        <v>-9.7425394641855369E-3</v>
      </c>
    </row>
    <row r="1358" spans="1:8" x14ac:dyDescent="0.3">
      <c r="A1358" s="5">
        <v>43973</v>
      </c>
      <c r="B1358" s="6">
        <v>9278.5498050000006</v>
      </c>
      <c r="C1358" s="6">
        <v>9328.2802730000003</v>
      </c>
      <c r="D1358" s="6">
        <v>9239.4101559999999</v>
      </c>
      <c r="E1358" s="6">
        <v>9324.5898440000001</v>
      </c>
      <c r="F1358" s="6">
        <v>9324.5898440000001</v>
      </c>
      <c r="G1358" s="4">
        <v>3641830000</v>
      </c>
      <c r="H1358">
        <f t="shared" si="21"/>
        <v>4.2677219559515483E-3</v>
      </c>
    </row>
    <row r="1359" spans="1:8" x14ac:dyDescent="0.3">
      <c r="A1359" s="5">
        <v>43977</v>
      </c>
      <c r="B1359" s="6">
        <v>9501.2099610000005</v>
      </c>
      <c r="C1359" s="6">
        <v>9501.2099610000005</v>
      </c>
      <c r="D1359" s="6">
        <v>9333.1601559999999</v>
      </c>
      <c r="E1359" s="6">
        <v>9340.2197269999997</v>
      </c>
      <c r="F1359" s="6">
        <v>9340.2197269999997</v>
      </c>
      <c r="G1359" s="4">
        <v>4432310000</v>
      </c>
      <c r="H1359">
        <f t="shared" si="21"/>
        <v>1.674797333876806E-3</v>
      </c>
    </row>
    <row r="1360" spans="1:8" x14ac:dyDescent="0.3">
      <c r="A1360" s="5">
        <v>43978</v>
      </c>
      <c r="B1360" s="6">
        <v>9346.1201170000004</v>
      </c>
      <c r="C1360" s="6">
        <v>9414.6201170000004</v>
      </c>
      <c r="D1360" s="6">
        <v>9144.2802730000003</v>
      </c>
      <c r="E1360" s="6">
        <v>9412.3603519999997</v>
      </c>
      <c r="F1360" s="6">
        <v>9412.3603519999997</v>
      </c>
      <c r="G1360" s="4">
        <v>4462450000</v>
      </c>
      <c r="H1360">
        <f t="shared" si="21"/>
        <v>7.6939792362816332E-3</v>
      </c>
    </row>
    <row r="1361" spans="1:8" x14ac:dyDescent="0.3">
      <c r="A1361" s="5">
        <v>43979</v>
      </c>
      <c r="B1361" s="6">
        <v>9392.9902340000008</v>
      </c>
      <c r="C1361" s="6">
        <v>9523.6396480000003</v>
      </c>
      <c r="D1361" s="6">
        <v>9345.2802730000003</v>
      </c>
      <c r="E1361" s="6">
        <v>9368.9902340000008</v>
      </c>
      <c r="F1361" s="6">
        <v>9368.9902340000008</v>
      </c>
      <c r="G1361" s="4">
        <v>4064220000</v>
      </c>
      <c r="H1361">
        <f t="shared" si="21"/>
        <v>-4.6184319803256489E-3</v>
      </c>
    </row>
    <row r="1362" spans="1:8" x14ac:dyDescent="0.3">
      <c r="A1362" s="5">
        <v>43980</v>
      </c>
      <c r="B1362" s="6">
        <v>9382.3496090000008</v>
      </c>
      <c r="C1362" s="6">
        <v>9505.5498050000006</v>
      </c>
      <c r="D1362" s="6">
        <v>9324.7304690000001</v>
      </c>
      <c r="E1362" s="6">
        <v>9489.8701170000004</v>
      </c>
      <c r="F1362" s="6">
        <v>9489.8701170000004</v>
      </c>
      <c r="G1362" s="4">
        <v>423570000</v>
      </c>
      <c r="H1362">
        <f t="shared" si="21"/>
        <v>1.2819601632086335E-2</v>
      </c>
    </row>
    <row r="1363" spans="1:8" x14ac:dyDescent="0.3">
      <c r="A1363" s="5">
        <v>43983</v>
      </c>
      <c r="B1363" s="6">
        <v>9471.4199219999991</v>
      </c>
      <c r="C1363" s="6">
        <v>9571.2802730000003</v>
      </c>
      <c r="D1363" s="6">
        <v>9462.3203130000002</v>
      </c>
      <c r="E1363" s="6">
        <v>9552.0498050000006</v>
      </c>
      <c r="F1363" s="6">
        <v>9552.0498050000006</v>
      </c>
      <c r="G1363" s="4">
        <v>3824770000</v>
      </c>
      <c r="H1363">
        <f t="shared" si="21"/>
        <v>6.530844501134417E-3</v>
      </c>
    </row>
    <row r="1364" spans="1:8" x14ac:dyDescent="0.3">
      <c r="A1364" s="5">
        <v>43984</v>
      </c>
      <c r="B1364" s="6">
        <v>9566.5302730000003</v>
      </c>
      <c r="C1364" s="6">
        <v>9611.2197269999997</v>
      </c>
      <c r="D1364" s="6">
        <v>9472.0800780000009</v>
      </c>
      <c r="E1364" s="6">
        <v>9608.3798829999996</v>
      </c>
      <c r="F1364" s="6">
        <v>9608.3798829999996</v>
      </c>
      <c r="G1364" s="4">
        <v>3962460000</v>
      </c>
      <c r="H1364">
        <f t="shared" si="21"/>
        <v>5.879851465461136E-3</v>
      </c>
    </row>
    <row r="1365" spans="1:8" x14ac:dyDescent="0.3">
      <c r="A1365" s="5">
        <v>43985</v>
      </c>
      <c r="B1365" s="6">
        <v>9651.8603519999997</v>
      </c>
      <c r="C1365" s="6">
        <v>9707.7802730000003</v>
      </c>
      <c r="D1365" s="6">
        <v>9627.1699219999991</v>
      </c>
      <c r="E1365" s="6">
        <v>9682.9101559999999</v>
      </c>
      <c r="F1365" s="6">
        <v>9682.9101559999999</v>
      </c>
      <c r="G1365" s="4">
        <v>4638380000</v>
      </c>
      <c r="H1365">
        <f t="shared" si="21"/>
        <v>7.7268698635628982E-3</v>
      </c>
    </row>
    <row r="1366" spans="1:8" x14ac:dyDescent="0.3">
      <c r="A1366" s="5">
        <v>43986</v>
      </c>
      <c r="B1366" s="6">
        <v>9649.6503909999992</v>
      </c>
      <c r="C1366" s="6">
        <v>9716.1396480000003</v>
      </c>
      <c r="D1366" s="6">
        <v>9560.4101559999999</v>
      </c>
      <c r="E1366" s="6">
        <v>9615.8095699999994</v>
      </c>
      <c r="F1366" s="6">
        <v>9615.8095699999994</v>
      </c>
      <c r="G1366" s="4">
        <v>6074320000</v>
      </c>
      <c r="H1366">
        <f t="shared" si="21"/>
        <v>-6.9539179127851699E-3</v>
      </c>
    </row>
    <row r="1367" spans="1:8" x14ac:dyDescent="0.3">
      <c r="A1367" s="5">
        <v>43987</v>
      </c>
      <c r="B1367" s="6">
        <v>9703.5400389999995</v>
      </c>
      <c r="C1367" s="6">
        <v>9845.6904300000006</v>
      </c>
      <c r="D1367" s="6">
        <v>9685.3496090000008</v>
      </c>
      <c r="E1367" s="6">
        <v>9814.0800780000009</v>
      </c>
      <c r="F1367" s="6">
        <v>9814.0800780000009</v>
      </c>
      <c r="G1367" s="4">
        <v>6572850000</v>
      </c>
      <c r="H1367">
        <f t="shared" si="21"/>
        <v>2.0409523058204971E-2</v>
      </c>
    </row>
    <row r="1368" spans="1:8" x14ac:dyDescent="0.3">
      <c r="A1368" s="5">
        <v>43990</v>
      </c>
      <c r="B1368" s="6">
        <v>9823.4404300000006</v>
      </c>
      <c r="C1368" s="6">
        <v>9927.1298829999996</v>
      </c>
      <c r="D1368" s="6">
        <v>9780.6103519999997</v>
      </c>
      <c r="E1368" s="6">
        <v>9924.75</v>
      </c>
      <c r="F1368" s="6">
        <v>9924.75</v>
      </c>
      <c r="G1368" s="4">
        <v>6143120000</v>
      </c>
      <c r="H1368">
        <f t="shared" si="21"/>
        <v>1.1213540136744572E-2</v>
      </c>
    </row>
    <row r="1369" spans="1:8" x14ac:dyDescent="0.3">
      <c r="A1369" s="5">
        <v>43991</v>
      </c>
      <c r="B1369" s="6">
        <v>9867.1904300000006</v>
      </c>
      <c r="C1369" s="6">
        <v>10002.5</v>
      </c>
      <c r="D1369" s="6">
        <v>9863.2695309999999</v>
      </c>
      <c r="E1369" s="6">
        <v>9953.75</v>
      </c>
      <c r="F1369" s="6">
        <v>9953.75</v>
      </c>
      <c r="G1369" s="4">
        <v>5281860000</v>
      </c>
      <c r="H1369">
        <f t="shared" si="21"/>
        <v>2.9177272503861356E-3</v>
      </c>
    </row>
    <row r="1370" spans="1:8" x14ac:dyDescent="0.3">
      <c r="A1370" s="5">
        <v>43992</v>
      </c>
      <c r="B1370" s="6">
        <v>10012.320313</v>
      </c>
      <c r="C1370" s="6">
        <v>10086.889648</v>
      </c>
      <c r="D1370" s="6">
        <v>9962.5800780000009</v>
      </c>
      <c r="E1370" s="6">
        <v>10020.349609000001</v>
      </c>
      <c r="F1370" s="6">
        <v>10020.349609000001</v>
      </c>
      <c r="G1370" s="4">
        <v>5128400000</v>
      </c>
      <c r="H1370">
        <f t="shared" si="21"/>
        <v>6.6686215762848024E-3</v>
      </c>
    </row>
    <row r="1371" spans="1:8" x14ac:dyDescent="0.3">
      <c r="A1371" s="5">
        <v>43993</v>
      </c>
      <c r="B1371" s="6">
        <v>9791.2402340000008</v>
      </c>
      <c r="C1371" s="6">
        <v>9868.0800780000009</v>
      </c>
      <c r="D1371" s="6">
        <v>9491.3095699999994</v>
      </c>
      <c r="E1371" s="6">
        <v>9492.7304690000001</v>
      </c>
      <c r="F1371" s="6">
        <v>9492.7304690000001</v>
      </c>
      <c r="G1371" s="4">
        <v>5271000000</v>
      </c>
      <c r="H1371">
        <f t="shared" si="21"/>
        <v>-5.4091694274296019E-2</v>
      </c>
    </row>
    <row r="1372" spans="1:8" x14ac:dyDescent="0.3">
      <c r="A1372" s="5">
        <v>43994</v>
      </c>
      <c r="B1372" s="6">
        <v>9715.8701170000004</v>
      </c>
      <c r="C1372" s="6">
        <v>9768.6396480000003</v>
      </c>
      <c r="D1372" s="6">
        <v>9413.6201170000004</v>
      </c>
      <c r="E1372" s="6">
        <v>9588.8095699999994</v>
      </c>
      <c r="F1372" s="6">
        <v>9588.8095699999994</v>
      </c>
      <c r="G1372" s="4">
        <v>4366190000</v>
      </c>
      <c r="H1372">
        <f t="shared" si="21"/>
        <v>1.0070456869158652E-2</v>
      </c>
    </row>
    <row r="1373" spans="1:8" x14ac:dyDescent="0.3">
      <c r="A1373" s="5">
        <v>43997</v>
      </c>
      <c r="B1373" s="6">
        <v>9426.9003909999992</v>
      </c>
      <c r="C1373" s="6">
        <v>9756.0703130000002</v>
      </c>
      <c r="D1373" s="6">
        <v>9403</v>
      </c>
      <c r="E1373" s="6">
        <v>9726.0195309999999</v>
      </c>
      <c r="F1373" s="6">
        <v>9726.0195309999999</v>
      </c>
      <c r="G1373" s="4">
        <v>4440650000</v>
      </c>
      <c r="H1373">
        <f t="shared" si="21"/>
        <v>1.4207971341470879E-2</v>
      </c>
    </row>
    <row r="1374" spans="1:8" x14ac:dyDescent="0.3">
      <c r="A1374" s="5">
        <v>43998</v>
      </c>
      <c r="B1374" s="6">
        <v>9949.7802730000003</v>
      </c>
      <c r="C1374" s="6">
        <v>9963.6298829999996</v>
      </c>
      <c r="D1374" s="6">
        <v>9748.3798829999996</v>
      </c>
      <c r="E1374" s="6">
        <v>9895.8701170000004</v>
      </c>
      <c r="F1374" s="6">
        <v>9895.8701170000004</v>
      </c>
      <c r="G1374" s="4">
        <v>4639860000</v>
      </c>
      <c r="H1374">
        <f t="shared" si="21"/>
        <v>1.7312790104021914E-2</v>
      </c>
    </row>
    <row r="1375" spans="1:8" x14ac:dyDescent="0.3">
      <c r="A1375" s="5">
        <v>43999</v>
      </c>
      <c r="B1375" s="6">
        <v>9943.3095699999994</v>
      </c>
      <c r="C1375" s="6">
        <v>9991.2099610000005</v>
      </c>
      <c r="D1375" s="6">
        <v>9891.8095699999994</v>
      </c>
      <c r="E1375" s="6">
        <v>9910.5302730000003</v>
      </c>
      <c r="F1375" s="6">
        <v>9910.5302730000003</v>
      </c>
      <c r="G1375" s="4">
        <v>4249680000</v>
      </c>
      <c r="H1375">
        <f t="shared" si="21"/>
        <v>1.4803455841091862E-3</v>
      </c>
    </row>
    <row r="1376" spans="1:8" x14ac:dyDescent="0.3">
      <c r="A1376" s="5">
        <v>44000</v>
      </c>
      <c r="B1376" s="6">
        <v>9892.4804690000001</v>
      </c>
      <c r="C1376" s="6">
        <v>9959.2001949999994</v>
      </c>
      <c r="D1376" s="6">
        <v>9885.6601559999999</v>
      </c>
      <c r="E1376" s="6">
        <v>9943.0498050000006</v>
      </c>
      <c r="F1376" s="6">
        <v>9943.0498050000006</v>
      </c>
      <c r="G1376" s="4">
        <v>4294740000</v>
      </c>
      <c r="H1376">
        <f t="shared" si="21"/>
        <v>3.2759392467184303E-3</v>
      </c>
    </row>
    <row r="1377" spans="1:8" x14ac:dyDescent="0.3">
      <c r="A1377" s="5">
        <v>44001</v>
      </c>
      <c r="B1377" s="6">
        <v>10042.129883</v>
      </c>
      <c r="C1377" s="6">
        <v>10053.910156</v>
      </c>
      <c r="D1377" s="6">
        <v>9872.9404300000006</v>
      </c>
      <c r="E1377" s="6">
        <v>9946.1201170000004</v>
      </c>
      <c r="F1377" s="6">
        <v>9946.1201170000004</v>
      </c>
      <c r="G1377" s="4">
        <v>6068130000</v>
      </c>
      <c r="H1377">
        <f t="shared" si="21"/>
        <v>3.0874209797884512E-4</v>
      </c>
    </row>
    <row r="1378" spans="1:8" x14ac:dyDescent="0.3">
      <c r="A1378" s="5">
        <v>44004</v>
      </c>
      <c r="B1378" s="6">
        <v>9945.4902340000008</v>
      </c>
      <c r="C1378" s="6">
        <v>10059.610352</v>
      </c>
      <c r="D1378" s="6">
        <v>9916.5996090000008</v>
      </c>
      <c r="E1378" s="6">
        <v>10056.480469</v>
      </c>
      <c r="F1378" s="6">
        <v>10056.480469</v>
      </c>
      <c r="G1378" s="4">
        <v>4468000000</v>
      </c>
      <c r="H1378">
        <f t="shared" si="21"/>
        <v>1.1034712347305865E-2</v>
      </c>
    </row>
    <row r="1379" spans="1:8" x14ac:dyDescent="0.3">
      <c r="A1379" s="5">
        <v>44005</v>
      </c>
      <c r="B1379" s="6">
        <v>10130.830078000001</v>
      </c>
      <c r="C1379" s="6">
        <v>10221.849609000001</v>
      </c>
      <c r="D1379" s="6">
        <v>10112.440430000001</v>
      </c>
      <c r="E1379" s="6">
        <v>10131.370117</v>
      </c>
      <c r="F1379" s="6">
        <v>10131.370117</v>
      </c>
      <c r="G1379" s="4">
        <v>5712450000</v>
      </c>
      <c r="H1379">
        <f t="shared" si="21"/>
        <v>7.4193130381302068E-3</v>
      </c>
    </row>
    <row r="1380" spans="1:8" x14ac:dyDescent="0.3">
      <c r="A1380" s="5">
        <v>44006</v>
      </c>
      <c r="B1380" s="6">
        <v>10092.919921999999</v>
      </c>
      <c r="C1380" s="6">
        <v>10137.5</v>
      </c>
      <c r="D1380" s="6">
        <v>9842.2197269999997</v>
      </c>
      <c r="E1380" s="6">
        <v>9909.1699219999991</v>
      </c>
      <c r="F1380" s="6">
        <v>9909.1699219999991</v>
      </c>
      <c r="G1380" s="4">
        <v>5549440000</v>
      </c>
      <c r="H1380">
        <f t="shared" si="21"/>
        <v>-2.2175979341601256E-2</v>
      </c>
    </row>
    <row r="1381" spans="1:8" x14ac:dyDescent="0.3">
      <c r="A1381" s="5">
        <v>44007</v>
      </c>
      <c r="B1381" s="6">
        <v>9899.3603519999997</v>
      </c>
      <c r="C1381" s="6">
        <v>10023.280273</v>
      </c>
      <c r="D1381" s="6">
        <v>9810.4697269999997</v>
      </c>
      <c r="E1381" s="6">
        <v>10017</v>
      </c>
      <c r="F1381" s="6">
        <v>10017</v>
      </c>
      <c r="G1381" s="4">
        <v>4709620000</v>
      </c>
      <c r="H1381">
        <f t="shared" si="21"/>
        <v>1.0823066450827996E-2</v>
      </c>
    </row>
    <row r="1382" spans="1:8" x14ac:dyDescent="0.3">
      <c r="A1382" s="5">
        <v>44008</v>
      </c>
      <c r="B1382" s="6">
        <v>9995.1201170000004</v>
      </c>
      <c r="C1382" s="6">
        <v>10000.669921999999</v>
      </c>
      <c r="D1382" s="6">
        <v>9749.0703130000002</v>
      </c>
      <c r="E1382" s="6">
        <v>9757.2197269999997</v>
      </c>
      <c r="F1382" s="6">
        <v>9757.2197269999997</v>
      </c>
      <c r="G1382" s="4">
        <v>7279230000</v>
      </c>
      <c r="H1382">
        <f t="shared" si="21"/>
        <v>-2.6276153822978116E-2</v>
      </c>
    </row>
    <row r="1383" spans="1:8" x14ac:dyDescent="0.3">
      <c r="A1383" s="5">
        <v>44011</v>
      </c>
      <c r="B1383" s="6">
        <v>9771.7197269999997</v>
      </c>
      <c r="C1383" s="6">
        <v>9877.3398440000001</v>
      </c>
      <c r="D1383" s="6">
        <v>9663.6103519999997</v>
      </c>
      <c r="E1383" s="6">
        <v>9874.1503909999992</v>
      </c>
      <c r="F1383" s="6">
        <v>9874.1503909999992</v>
      </c>
      <c r="G1383" s="4">
        <v>4306120000</v>
      </c>
      <c r="H1383">
        <f t="shared" si="21"/>
        <v>1.1912774924766587E-2</v>
      </c>
    </row>
    <row r="1384" spans="1:8" x14ac:dyDescent="0.3">
      <c r="A1384" s="5">
        <v>44012</v>
      </c>
      <c r="B1384" s="6">
        <v>9875.2900389999995</v>
      </c>
      <c r="C1384" s="6">
        <v>10085.589844</v>
      </c>
      <c r="D1384" s="6">
        <v>9863.6699219999991</v>
      </c>
      <c r="E1384" s="6">
        <v>10058.769531</v>
      </c>
      <c r="F1384" s="6">
        <v>10058.769531</v>
      </c>
      <c r="G1384" s="4">
        <v>4474000000</v>
      </c>
      <c r="H1384">
        <f t="shared" si="21"/>
        <v>1.8524573437460924E-2</v>
      </c>
    </row>
    <row r="1385" spans="1:8" x14ac:dyDescent="0.3">
      <c r="A1385" s="5">
        <v>44013</v>
      </c>
      <c r="B1385" s="6">
        <v>10063.669921999999</v>
      </c>
      <c r="C1385" s="6">
        <v>10197.190430000001</v>
      </c>
      <c r="D1385" s="6">
        <v>10048.040039</v>
      </c>
      <c r="E1385" s="6">
        <v>10154.629883</v>
      </c>
      <c r="F1385" s="6">
        <v>10154.629883</v>
      </c>
      <c r="G1385" s="4">
        <v>4595970000</v>
      </c>
      <c r="H1385">
        <f t="shared" si="21"/>
        <v>9.4849034242836527E-3</v>
      </c>
    </row>
    <row r="1386" spans="1:8" x14ac:dyDescent="0.3">
      <c r="A1386" s="5">
        <v>44014</v>
      </c>
      <c r="B1386" s="6">
        <v>10268.669921999999</v>
      </c>
      <c r="C1386" s="6">
        <v>10310.360352</v>
      </c>
      <c r="D1386" s="6">
        <v>10194.059569999999</v>
      </c>
      <c r="E1386" s="6">
        <v>10207.629883</v>
      </c>
      <c r="F1386" s="6">
        <v>10207.629883</v>
      </c>
      <c r="G1386" s="4">
        <v>4017530000</v>
      </c>
      <c r="H1386">
        <f t="shared" si="21"/>
        <v>5.2057208088495338E-3</v>
      </c>
    </row>
    <row r="1387" spans="1:8" x14ac:dyDescent="0.3">
      <c r="A1387" s="5">
        <v>44018</v>
      </c>
      <c r="B1387" s="6">
        <v>10360.379883</v>
      </c>
      <c r="C1387" s="6">
        <v>10462.049805000001</v>
      </c>
      <c r="D1387" s="6">
        <v>10354.980469</v>
      </c>
      <c r="E1387" s="6">
        <v>10433.650390999999</v>
      </c>
      <c r="F1387" s="6">
        <v>10433.650390999999</v>
      </c>
      <c r="G1387" s="4">
        <v>4529480000</v>
      </c>
      <c r="H1387">
        <f t="shared" si="21"/>
        <v>2.1900728927992219E-2</v>
      </c>
    </row>
    <row r="1388" spans="1:8" x14ac:dyDescent="0.3">
      <c r="A1388" s="5">
        <v>44019</v>
      </c>
      <c r="B1388" s="6">
        <v>10412.459961</v>
      </c>
      <c r="C1388" s="6">
        <v>10518.980469</v>
      </c>
      <c r="D1388" s="6">
        <v>10337.980469</v>
      </c>
      <c r="E1388" s="6">
        <v>10343.889648</v>
      </c>
      <c r="F1388" s="6">
        <v>10343.889648</v>
      </c>
      <c r="G1388" s="4">
        <v>4314110000</v>
      </c>
      <c r="H1388">
        <f t="shared" si="21"/>
        <v>-8.6402241308085794E-3</v>
      </c>
    </row>
    <row r="1389" spans="1:8" x14ac:dyDescent="0.3">
      <c r="A1389" s="5">
        <v>44020</v>
      </c>
      <c r="B1389" s="6">
        <v>10409.349609000001</v>
      </c>
      <c r="C1389" s="6">
        <v>10494.629883</v>
      </c>
      <c r="D1389" s="6">
        <v>10350.959961</v>
      </c>
      <c r="E1389" s="6">
        <v>10492.5</v>
      </c>
      <c r="F1389" s="6">
        <v>10492.5</v>
      </c>
      <c r="G1389" s="4">
        <v>3999180000</v>
      </c>
      <c r="H1389">
        <f t="shared" si="21"/>
        <v>1.4264743026415437E-2</v>
      </c>
    </row>
    <row r="1390" spans="1:8" x14ac:dyDescent="0.3">
      <c r="A1390" s="5">
        <v>44021</v>
      </c>
      <c r="B1390" s="6">
        <v>10563.719727</v>
      </c>
      <c r="C1390" s="6">
        <v>10578.099609000001</v>
      </c>
      <c r="D1390" s="6">
        <v>10379.910156</v>
      </c>
      <c r="E1390" s="6">
        <v>10547.75</v>
      </c>
      <c r="F1390" s="6">
        <v>10547.75</v>
      </c>
      <c r="G1390" s="4">
        <v>3992920000</v>
      </c>
      <c r="H1390">
        <f t="shared" si="21"/>
        <v>5.2518508089757741E-3</v>
      </c>
    </row>
    <row r="1391" spans="1:8" x14ac:dyDescent="0.3">
      <c r="A1391" s="5">
        <v>44022</v>
      </c>
      <c r="B1391" s="6">
        <v>10545.910156</v>
      </c>
      <c r="C1391" s="6">
        <v>10622.349609000001</v>
      </c>
      <c r="D1391" s="6">
        <v>10447.009765999999</v>
      </c>
      <c r="E1391" s="6">
        <v>10617.440430000001</v>
      </c>
      <c r="F1391" s="6">
        <v>10617.440430000001</v>
      </c>
      <c r="G1391" s="4">
        <v>3509810000</v>
      </c>
      <c r="H1391">
        <f t="shared" si="21"/>
        <v>6.5854056063427572E-3</v>
      </c>
    </row>
    <row r="1392" spans="1:8" x14ac:dyDescent="0.3">
      <c r="A1392" s="5">
        <v>44025</v>
      </c>
      <c r="B1392" s="6">
        <v>10729.919921999999</v>
      </c>
      <c r="C1392" s="6">
        <v>10824.780273</v>
      </c>
      <c r="D1392" s="6">
        <v>10368.040039</v>
      </c>
      <c r="E1392" s="6">
        <v>10390.839844</v>
      </c>
      <c r="F1392" s="6">
        <v>10390.839844</v>
      </c>
      <c r="G1392" s="4">
        <v>4822050000</v>
      </c>
      <c r="H1392">
        <f t="shared" si="21"/>
        <v>-2.1573338842716099E-2</v>
      </c>
    </row>
    <row r="1393" spans="1:8" x14ac:dyDescent="0.3">
      <c r="A1393" s="5">
        <v>44026</v>
      </c>
      <c r="B1393" s="6">
        <v>10310.25</v>
      </c>
      <c r="C1393" s="6">
        <v>10497.830078000001</v>
      </c>
      <c r="D1393" s="6">
        <v>10182.459961</v>
      </c>
      <c r="E1393" s="6">
        <v>10488.580078000001</v>
      </c>
      <c r="F1393" s="6">
        <v>10488.580078000001</v>
      </c>
      <c r="G1393" s="4">
        <v>4419480000</v>
      </c>
      <c r="H1393">
        <f t="shared" si="21"/>
        <v>9.3624198675068271E-3</v>
      </c>
    </row>
    <row r="1394" spans="1:8" x14ac:dyDescent="0.3">
      <c r="A1394" s="5">
        <v>44027</v>
      </c>
      <c r="B1394" s="6">
        <v>10576.719727</v>
      </c>
      <c r="C1394" s="6">
        <v>10604.669921999999</v>
      </c>
      <c r="D1394" s="6">
        <v>10420.540039</v>
      </c>
      <c r="E1394" s="6">
        <v>10550.490234000001</v>
      </c>
      <c r="F1394" s="6">
        <v>10550.490234000001</v>
      </c>
      <c r="G1394" s="4">
        <v>4610540000</v>
      </c>
      <c r="H1394">
        <f t="shared" si="21"/>
        <v>5.8852728544933428E-3</v>
      </c>
    </row>
    <row r="1395" spans="1:8" x14ac:dyDescent="0.3">
      <c r="A1395" s="5">
        <v>44028</v>
      </c>
      <c r="B1395" s="6">
        <v>10443.870117</v>
      </c>
      <c r="C1395" s="6">
        <v>10499.790039</v>
      </c>
      <c r="D1395" s="6">
        <v>10364.389648</v>
      </c>
      <c r="E1395" s="6">
        <v>10473.830078000001</v>
      </c>
      <c r="F1395" s="6">
        <v>10473.830078000001</v>
      </c>
      <c r="G1395" s="4">
        <v>4237290000</v>
      </c>
      <c r="H1395">
        <f t="shared" si="21"/>
        <v>-7.2925540139138949E-3</v>
      </c>
    </row>
    <row r="1396" spans="1:8" x14ac:dyDescent="0.3">
      <c r="A1396" s="5">
        <v>44029</v>
      </c>
      <c r="B1396" s="6">
        <v>10500.519531</v>
      </c>
      <c r="C1396" s="6">
        <v>10532.620117</v>
      </c>
      <c r="D1396" s="6">
        <v>10421.209961</v>
      </c>
      <c r="E1396" s="6">
        <v>10503.190430000001</v>
      </c>
      <c r="F1396" s="6">
        <v>10503.190430000001</v>
      </c>
      <c r="G1396" s="4">
        <v>4334280000</v>
      </c>
      <c r="H1396">
        <f t="shared" si="21"/>
        <v>2.799288980163401E-3</v>
      </c>
    </row>
    <row r="1397" spans="1:8" x14ac:dyDescent="0.3">
      <c r="A1397" s="5">
        <v>44032</v>
      </c>
      <c r="B1397" s="6">
        <v>10526.019531</v>
      </c>
      <c r="C1397" s="6">
        <v>10783.799805000001</v>
      </c>
      <c r="D1397" s="6">
        <v>10488.040039</v>
      </c>
      <c r="E1397" s="6">
        <v>10767.089844</v>
      </c>
      <c r="F1397" s="6">
        <v>10767.089844</v>
      </c>
      <c r="G1397" s="4">
        <v>4274340000</v>
      </c>
      <c r="H1397">
        <f t="shared" si="21"/>
        <v>2.4815183697927238E-2</v>
      </c>
    </row>
    <row r="1398" spans="1:8" x14ac:dyDescent="0.3">
      <c r="A1398" s="5">
        <v>44033</v>
      </c>
      <c r="B1398" s="6">
        <v>10837.879883</v>
      </c>
      <c r="C1398" s="6">
        <v>10839.929688</v>
      </c>
      <c r="D1398" s="6">
        <v>10650.459961</v>
      </c>
      <c r="E1398" s="6">
        <v>10680.360352</v>
      </c>
      <c r="F1398" s="6">
        <v>10680.360352</v>
      </c>
      <c r="G1398" s="4">
        <v>5311750000</v>
      </c>
      <c r="H1398">
        <f t="shared" si="21"/>
        <v>-8.0876713975784574E-3</v>
      </c>
    </row>
    <row r="1399" spans="1:8" x14ac:dyDescent="0.3">
      <c r="A1399" s="5">
        <v>44034</v>
      </c>
      <c r="B1399" s="6">
        <v>10687.580078000001</v>
      </c>
      <c r="C1399" s="6">
        <v>10745.320313</v>
      </c>
      <c r="D1399" s="6">
        <v>10627.450194999999</v>
      </c>
      <c r="E1399" s="6">
        <v>10706.129883</v>
      </c>
      <c r="F1399" s="6">
        <v>10706.129883</v>
      </c>
      <c r="G1399" s="4">
        <v>4074020000</v>
      </c>
      <c r="H1399">
        <f t="shared" si="21"/>
        <v>2.4098899060447823E-3</v>
      </c>
    </row>
    <row r="1400" spans="1:8" x14ac:dyDescent="0.3">
      <c r="A1400" s="5">
        <v>44035</v>
      </c>
      <c r="B1400" s="6">
        <v>10689.5</v>
      </c>
      <c r="C1400" s="6">
        <v>10728.120117</v>
      </c>
      <c r="D1400" s="6">
        <v>10407.870117</v>
      </c>
      <c r="E1400" s="6">
        <v>10461.419921999999</v>
      </c>
      <c r="F1400" s="6">
        <v>10461.419921999999</v>
      </c>
      <c r="G1400" s="4">
        <v>4469470000</v>
      </c>
      <c r="H1400">
        <f t="shared" si="21"/>
        <v>-2.312226646782993E-2</v>
      </c>
    </row>
    <row r="1401" spans="1:8" x14ac:dyDescent="0.3">
      <c r="A1401" s="5">
        <v>44036</v>
      </c>
      <c r="B1401" s="6">
        <v>10294.410156</v>
      </c>
      <c r="C1401" s="6">
        <v>10418.75</v>
      </c>
      <c r="D1401" s="6">
        <v>10217.309569999999</v>
      </c>
      <c r="E1401" s="6">
        <v>10363.179688</v>
      </c>
      <c r="F1401" s="6">
        <v>10363.179688</v>
      </c>
      <c r="G1401" s="4">
        <v>4205330000</v>
      </c>
      <c r="H1401">
        <f t="shared" si="21"/>
        <v>-9.4350877927816164E-3</v>
      </c>
    </row>
    <row r="1402" spans="1:8" x14ac:dyDescent="0.3">
      <c r="A1402" s="5">
        <v>44039</v>
      </c>
      <c r="B1402" s="6">
        <v>10421.700194999999</v>
      </c>
      <c r="C1402" s="6">
        <v>10546.440430000001</v>
      </c>
      <c r="D1402" s="6">
        <v>10399.860352</v>
      </c>
      <c r="E1402" s="6">
        <v>10536.269531</v>
      </c>
      <c r="F1402" s="6">
        <v>10536.269531</v>
      </c>
      <c r="G1402" s="4">
        <v>4209900000</v>
      </c>
      <c r="H1402">
        <f t="shared" si="21"/>
        <v>1.6564436591168335E-2</v>
      </c>
    </row>
    <row r="1403" spans="1:8" x14ac:dyDescent="0.3">
      <c r="A1403" s="5">
        <v>44040</v>
      </c>
      <c r="B1403" s="6">
        <v>10509.200194999999</v>
      </c>
      <c r="C1403" s="6">
        <v>10523.639648</v>
      </c>
      <c r="D1403" s="6">
        <v>10397.870117</v>
      </c>
      <c r="E1403" s="6">
        <v>10402.089844</v>
      </c>
      <c r="F1403" s="6">
        <v>10402.089844</v>
      </c>
      <c r="G1403" s="4">
        <v>3869230000</v>
      </c>
      <c r="H1403">
        <f t="shared" si="21"/>
        <v>-1.2816813524674444E-2</v>
      </c>
    </row>
    <row r="1404" spans="1:8" x14ac:dyDescent="0.3">
      <c r="A1404" s="5">
        <v>44041</v>
      </c>
      <c r="B1404" s="6">
        <v>10474.700194999999</v>
      </c>
      <c r="C1404" s="6">
        <v>10567.910156</v>
      </c>
      <c r="D1404" s="6">
        <v>10464</v>
      </c>
      <c r="E1404" s="6">
        <v>10542.940430000001</v>
      </c>
      <c r="F1404" s="6">
        <v>10542.940430000001</v>
      </c>
      <c r="G1404" s="4">
        <v>3970900000</v>
      </c>
      <c r="H1404">
        <f t="shared" si="21"/>
        <v>1.3449749885671169E-2</v>
      </c>
    </row>
    <row r="1405" spans="1:8" x14ac:dyDescent="0.3">
      <c r="A1405" s="5">
        <v>44042</v>
      </c>
      <c r="B1405" s="6">
        <v>10450.120117</v>
      </c>
      <c r="C1405" s="6">
        <v>10609.589844</v>
      </c>
      <c r="D1405" s="6">
        <v>10412.089844</v>
      </c>
      <c r="E1405" s="6">
        <v>10587.809569999999</v>
      </c>
      <c r="F1405" s="6">
        <v>10587.809569999999</v>
      </c>
      <c r="G1405" s="4">
        <v>4135200000</v>
      </c>
      <c r="H1405">
        <f t="shared" si="21"/>
        <v>4.2468163634737308E-3</v>
      </c>
    </row>
    <row r="1406" spans="1:8" x14ac:dyDescent="0.3">
      <c r="A1406" s="5">
        <v>44043</v>
      </c>
      <c r="B1406" s="6">
        <v>10741.469727</v>
      </c>
      <c r="C1406" s="6">
        <v>10747.799805000001</v>
      </c>
      <c r="D1406" s="6">
        <v>10557.700194999999</v>
      </c>
      <c r="E1406" s="6">
        <v>10745.269531</v>
      </c>
      <c r="F1406" s="6">
        <v>10745.269531</v>
      </c>
      <c r="G1406" s="4">
        <v>4418390000</v>
      </c>
      <c r="H1406">
        <f t="shared" si="21"/>
        <v>1.4762315350272826E-2</v>
      </c>
    </row>
    <row r="1407" spans="1:8" x14ac:dyDescent="0.3">
      <c r="A1407" s="5">
        <v>44046</v>
      </c>
      <c r="B1407" s="6">
        <v>10848.639648</v>
      </c>
      <c r="C1407" s="6">
        <v>10927.559569999999</v>
      </c>
      <c r="D1407" s="6">
        <v>10831.150390999999</v>
      </c>
      <c r="E1407" s="6">
        <v>10902.799805000001</v>
      </c>
      <c r="F1407" s="6">
        <v>10902.799805000001</v>
      </c>
      <c r="G1407" s="4">
        <v>4173600000</v>
      </c>
      <c r="H1407">
        <f t="shared" si="21"/>
        <v>1.4554004997367351E-2</v>
      </c>
    </row>
    <row r="1408" spans="1:8" x14ac:dyDescent="0.3">
      <c r="A1408" s="5">
        <v>44047</v>
      </c>
      <c r="B1408" s="6">
        <v>10897.889648</v>
      </c>
      <c r="C1408" s="6">
        <v>10941.910156</v>
      </c>
      <c r="D1408" s="6">
        <v>10852.900390999999</v>
      </c>
      <c r="E1408" s="6">
        <v>10941.169921999999</v>
      </c>
      <c r="F1408" s="6">
        <v>10941.169921999999</v>
      </c>
      <c r="G1408" s="4">
        <v>3973570000</v>
      </c>
      <c r="H1408">
        <f t="shared" si="21"/>
        <v>3.51311203440165E-3</v>
      </c>
    </row>
    <row r="1409" spans="1:8" x14ac:dyDescent="0.3">
      <c r="A1409" s="5">
        <v>44048</v>
      </c>
      <c r="B1409" s="6">
        <v>10967.870117</v>
      </c>
      <c r="C1409" s="6">
        <v>11002.110352</v>
      </c>
      <c r="D1409" s="6">
        <v>10943.719727</v>
      </c>
      <c r="E1409" s="6">
        <v>10998.400390999999</v>
      </c>
      <c r="F1409" s="6">
        <v>10998.400390999999</v>
      </c>
      <c r="G1409" s="4">
        <v>4119550000</v>
      </c>
      <c r="H1409">
        <f t="shared" si="21"/>
        <v>5.2171120940782646E-3</v>
      </c>
    </row>
    <row r="1410" spans="1:8" x14ac:dyDescent="0.3">
      <c r="A1410" s="5">
        <v>44049</v>
      </c>
      <c r="B1410" s="6">
        <v>10989.980469</v>
      </c>
      <c r="C1410" s="6">
        <v>11121.190430000001</v>
      </c>
      <c r="D1410" s="6">
        <v>10963.410156</v>
      </c>
      <c r="E1410" s="6">
        <v>11108.070313</v>
      </c>
      <c r="F1410" s="6">
        <v>11108.070313</v>
      </c>
      <c r="G1410" s="4">
        <v>4086290000</v>
      </c>
      <c r="H1410">
        <f t="shared" si="21"/>
        <v>9.9220561429005285E-3</v>
      </c>
    </row>
    <row r="1411" spans="1:8" x14ac:dyDescent="0.3">
      <c r="A1411" s="5">
        <v>44050</v>
      </c>
      <c r="B1411" s="6">
        <v>11072.530273</v>
      </c>
      <c r="C1411" s="6">
        <v>11126.040039</v>
      </c>
      <c r="D1411" s="6">
        <v>10920.370117</v>
      </c>
      <c r="E1411" s="6">
        <v>11010.980469</v>
      </c>
      <c r="F1411" s="6">
        <v>11010.980469</v>
      </c>
      <c r="G1411" s="4">
        <v>4230720000</v>
      </c>
      <c r="H1411">
        <f t="shared" si="21"/>
        <v>-8.7789000087049058E-3</v>
      </c>
    </row>
    <row r="1412" spans="1:8" x14ac:dyDescent="0.3">
      <c r="A1412" s="5">
        <v>44053</v>
      </c>
      <c r="B1412" s="6">
        <v>11033.730469</v>
      </c>
      <c r="C1412" s="6">
        <v>11040.240234000001</v>
      </c>
      <c r="D1412" s="6">
        <v>10849.459961</v>
      </c>
      <c r="E1412" s="6">
        <v>10968.360352</v>
      </c>
      <c r="F1412" s="6">
        <v>10968.360352</v>
      </c>
      <c r="G1412" s="4">
        <v>4018530000</v>
      </c>
      <c r="H1412">
        <f t="shared" ref="H1412:H1475" si="22">LN(E1412/E1411)</f>
        <v>-3.8782027874194919E-3</v>
      </c>
    </row>
    <row r="1413" spans="1:8" x14ac:dyDescent="0.3">
      <c r="A1413" s="5">
        <v>44054</v>
      </c>
      <c r="B1413" s="6">
        <v>10942.660156</v>
      </c>
      <c r="C1413" s="6">
        <v>10989.419921999999</v>
      </c>
      <c r="D1413" s="6">
        <v>10762.709961</v>
      </c>
      <c r="E1413" s="6">
        <v>10782.820313</v>
      </c>
      <c r="F1413" s="6">
        <v>10782.820313</v>
      </c>
      <c r="G1413" s="4">
        <v>4303980000</v>
      </c>
      <c r="H1413">
        <f t="shared" si="22"/>
        <v>-1.7060640725110265E-2</v>
      </c>
    </row>
    <row r="1414" spans="1:8" x14ac:dyDescent="0.3">
      <c r="A1414" s="5">
        <v>44055</v>
      </c>
      <c r="B1414" s="6">
        <v>10878.120117</v>
      </c>
      <c r="C1414" s="6">
        <v>11036.719727</v>
      </c>
      <c r="D1414" s="6">
        <v>10877.160156</v>
      </c>
      <c r="E1414" s="6">
        <v>11012.240234000001</v>
      </c>
      <c r="F1414" s="6">
        <v>11012.240234000001</v>
      </c>
      <c r="G1414" s="4">
        <v>3716840000</v>
      </c>
      <c r="H1414">
        <f t="shared" si="22"/>
        <v>2.1053246852383023E-2</v>
      </c>
    </row>
    <row r="1415" spans="1:8" x14ac:dyDescent="0.3">
      <c r="A1415" s="5">
        <v>44056</v>
      </c>
      <c r="B1415" s="6">
        <v>11026.860352</v>
      </c>
      <c r="C1415" s="6">
        <v>11124.849609000001</v>
      </c>
      <c r="D1415" s="6">
        <v>11007.5</v>
      </c>
      <c r="E1415" s="6">
        <v>11042.5</v>
      </c>
      <c r="F1415" s="6">
        <v>11042.5</v>
      </c>
      <c r="G1415" s="4">
        <v>3444140000</v>
      </c>
      <c r="H1415">
        <f t="shared" si="22"/>
        <v>2.7440617904931578E-3</v>
      </c>
    </row>
    <row r="1416" spans="1:8" x14ac:dyDescent="0.3">
      <c r="A1416" s="5">
        <v>44057</v>
      </c>
      <c r="B1416" s="6">
        <v>11042.240234000001</v>
      </c>
      <c r="C1416" s="6">
        <v>11058.440430000001</v>
      </c>
      <c r="D1416" s="6">
        <v>10972.059569999999</v>
      </c>
      <c r="E1416" s="6">
        <v>11019.299805000001</v>
      </c>
      <c r="F1416" s="6">
        <v>11019.299805000001</v>
      </c>
      <c r="G1416" s="4">
        <v>3491320000</v>
      </c>
      <c r="H1416">
        <f t="shared" si="22"/>
        <v>-2.1032013486794346E-3</v>
      </c>
    </row>
    <row r="1417" spans="1:8" x14ac:dyDescent="0.3">
      <c r="A1417" s="5">
        <v>44060</v>
      </c>
      <c r="B1417" s="6">
        <v>11083.25</v>
      </c>
      <c r="C1417" s="6">
        <v>11144.530273</v>
      </c>
      <c r="D1417" s="6">
        <v>11080.299805000001</v>
      </c>
      <c r="E1417" s="6">
        <v>11129.730469</v>
      </c>
      <c r="F1417" s="6">
        <v>11129.730469</v>
      </c>
      <c r="G1417" s="4">
        <v>3193160000</v>
      </c>
      <c r="H1417">
        <f t="shared" si="22"/>
        <v>9.9716852326183023E-3</v>
      </c>
    </row>
    <row r="1418" spans="1:8" x14ac:dyDescent="0.3">
      <c r="A1418" s="5">
        <v>44061</v>
      </c>
      <c r="B1418" s="6">
        <v>11170.75</v>
      </c>
      <c r="C1418" s="6">
        <v>11230.620117</v>
      </c>
      <c r="D1418" s="6">
        <v>11103.830078000001</v>
      </c>
      <c r="E1418" s="6">
        <v>11210.839844</v>
      </c>
      <c r="F1418" s="6">
        <v>11210.839844</v>
      </c>
      <c r="G1418" s="4">
        <v>3199470000</v>
      </c>
      <c r="H1418">
        <f t="shared" si="22"/>
        <v>7.2612050845879822E-3</v>
      </c>
    </row>
    <row r="1419" spans="1:8" x14ac:dyDescent="0.3">
      <c r="A1419" s="5">
        <v>44062</v>
      </c>
      <c r="B1419" s="6">
        <v>11214.799805000001</v>
      </c>
      <c r="C1419" s="6">
        <v>11257.419921999999</v>
      </c>
      <c r="D1419" s="6">
        <v>11132.099609000001</v>
      </c>
      <c r="E1419" s="6">
        <v>11146.459961</v>
      </c>
      <c r="F1419" s="6">
        <v>11146.459961</v>
      </c>
      <c r="G1419" s="4">
        <v>3467890000</v>
      </c>
      <c r="H1419">
        <f t="shared" si="22"/>
        <v>-5.7591982492854682E-3</v>
      </c>
    </row>
    <row r="1420" spans="1:8" x14ac:dyDescent="0.3">
      <c r="A1420" s="5">
        <v>44063</v>
      </c>
      <c r="B1420" s="6">
        <v>11096.400390999999</v>
      </c>
      <c r="C1420" s="6">
        <v>11283.620117</v>
      </c>
      <c r="D1420" s="6">
        <v>11090.030273</v>
      </c>
      <c r="E1420" s="6">
        <v>11264.950194999999</v>
      </c>
      <c r="F1420" s="6">
        <v>11264.950194999999</v>
      </c>
      <c r="G1420" s="4">
        <v>4170980000</v>
      </c>
      <c r="H1420">
        <f t="shared" si="22"/>
        <v>1.0574197450492052E-2</v>
      </c>
    </row>
    <row r="1421" spans="1:8" x14ac:dyDescent="0.3">
      <c r="A1421" s="5">
        <v>44064</v>
      </c>
      <c r="B1421" s="6">
        <v>11258.440430000001</v>
      </c>
      <c r="C1421" s="6">
        <v>11326.209961</v>
      </c>
      <c r="D1421" s="6">
        <v>11245.440430000001</v>
      </c>
      <c r="E1421" s="6">
        <v>11311.799805000001</v>
      </c>
      <c r="F1421" s="6">
        <v>11311.799805000001</v>
      </c>
      <c r="G1421" s="4">
        <v>3905670000</v>
      </c>
      <c r="H1421">
        <f t="shared" si="22"/>
        <v>4.1502587615416817E-3</v>
      </c>
    </row>
    <row r="1422" spans="1:8" x14ac:dyDescent="0.3">
      <c r="A1422" s="5">
        <v>44067</v>
      </c>
      <c r="B1422" s="6">
        <v>11449.25</v>
      </c>
      <c r="C1422" s="6">
        <v>11462.049805000001</v>
      </c>
      <c r="D1422" s="6">
        <v>11297.530273</v>
      </c>
      <c r="E1422" s="6">
        <v>11379.719727</v>
      </c>
      <c r="F1422" s="6">
        <v>11379.719727</v>
      </c>
      <c r="G1422" s="4">
        <v>3885880000</v>
      </c>
      <c r="H1422">
        <f t="shared" si="22"/>
        <v>5.9863884162022285E-3</v>
      </c>
    </row>
    <row r="1423" spans="1:8" x14ac:dyDescent="0.3">
      <c r="A1423" s="5">
        <v>44068</v>
      </c>
      <c r="B1423" s="6">
        <v>11370.230469</v>
      </c>
      <c r="C1423" s="6">
        <v>11468.259765999999</v>
      </c>
      <c r="D1423" s="6">
        <v>11343.040039</v>
      </c>
      <c r="E1423" s="6">
        <v>11466.469727</v>
      </c>
      <c r="F1423" s="6">
        <v>11466.469727</v>
      </c>
      <c r="G1423" s="4">
        <v>3454500000</v>
      </c>
      <c r="H1423">
        <f t="shared" si="22"/>
        <v>7.5943007567995675E-3</v>
      </c>
    </row>
    <row r="1424" spans="1:8" x14ac:dyDescent="0.3">
      <c r="A1424" s="5">
        <v>44069</v>
      </c>
      <c r="B1424" s="6">
        <v>11516.620117</v>
      </c>
      <c r="C1424" s="6">
        <v>11672.049805000001</v>
      </c>
      <c r="D1424" s="6">
        <v>11507.459961</v>
      </c>
      <c r="E1424" s="6">
        <v>11665.059569999999</v>
      </c>
      <c r="F1424" s="6">
        <v>11665.059569999999</v>
      </c>
      <c r="G1424" s="4">
        <v>3441550000</v>
      </c>
      <c r="H1424">
        <f t="shared" si="22"/>
        <v>1.7170911597065429E-2</v>
      </c>
    </row>
    <row r="1425" spans="1:8" x14ac:dyDescent="0.3">
      <c r="A1425" s="5">
        <v>44070</v>
      </c>
      <c r="B1425" s="6">
        <v>11688.190430000001</v>
      </c>
      <c r="C1425" s="6">
        <v>11730.009765999999</v>
      </c>
      <c r="D1425" s="6">
        <v>11551.009765999999</v>
      </c>
      <c r="E1425" s="6">
        <v>11625.339844</v>
      </c>
      <c r="F1425" s="6">
        <v>11625.339844</v>
      </c>
      <c r="G1425" s="4">
        <v>3535800000</v>
      </c>
      <c r="H1425">
        <f t="shared" si="22"/>
        <v>-3.4108272512954679E-3</v>
      </c>
    </row>
    <row r="1426" spans="1:8" x14ac:dyDescent="0.3">
      <c r="A1426" s="5">
        <v>44071</v>
      </c>
      <c r="B1426" s="6">
        <v>11689.280273</v>
      </c>
      <c r="C1426" s="6">
        <v>11708.769531</v>
      </c>
      <c r="D1426" s="6">
        <v>11634.769531</v>
      </c>
      <c r="E1426" s="6">
        <v>11695.629883</v>
      </c>
      <c r="F1426" s="6">
        <v>11695.629883</v>
      </c>
      <c r="G1426" s="4">
        <v>2997810000</v>
      </c>
      <c r="H1426">
        <f t="shared" si="22"/>
        <v>6.0280728177836852E-3</v>
      </c>
    </row>
    <row r="1427" spans="1:8" x14ac:dyDescent="0.3">
      <c r="A1427" s="5">
        <v>44074</v>
      </c>
      <c r="B1427" s="6">
        <v>11718.809569999999</v>
      </c>
      <c r="C1427" s="6">
        <v>11829.839844</v>
      </c>
      <c r="D1427" s="6">
        <v>11697.419921999999</v>
      </c>
      <c r="E1427" s="6">
        <v>11775.459961</v>
      </c>
      <c r="F1427" s="6">
        <v>11775.459961</v>
      </c>
      <c r="G1427" s="4">
        <v>3596980000</v>
      </c>
      <c r="H1427">
        <f t="shared" si="22"/>
        <v>6.8024438884944811E-3</v>
      </c>
    </row>
    <row r="1428" spans="1:8" x14ac:dyDescent="0.3">
      <c r="A1428" s="5">
        <v>44075</v>
      </c>
      <c r="B1428" s="6">
        <v>11850.959961</v>
      </c>
      <c r="C1428" s="6">
        <v>11945.719727</v>
      </c>
      <c r="D1428" s="6">
        <v>11794.780273</v>
      </c>
      <c r="E1428" s="6">
        <v>11939.669921999999</v>
      </c>
      <c r="F1428" s="6">
        <v>11939.669921999999</v>
      </c>
      <c r="G1428" s="4">
        <v>3480780000</v>
      </c>
      <c r="H1428">
        <f t="shared" si="22"/>
        <v>1.3848761213845984E-2</v>
      </c>
    </row>
    <row r="1429" spans="1:8" x14ac:dyDescent="0.3">
      <c r="A1429" s="5">
        <v>44076</v>
      </c>
      <c r="B1429" s="6">
        <v>12047.259765999999</v>
      </c>
      <c r="C1429" s="6">
        <v>12074.059569999999</v>
      </c>
      <c r="D1429" s="6">
        <v>11836.179688</v>
      </c>
      <c r="E1429" s="6">
        <v>12056.440430000001</v>
      </c>
      <c r="F1429" s="6">
        <v>12056.440430000001</v>
      </c>
      <c r="G1429" s="4">
        <v>3966140000</v>
      </c>
      <c r="H1429">
        <f t="shared" si="22"/>
        <v>9.7325298154537863E-3</v>
      </c>
    </row>
    <row r="1430" spans="1:8" x14ac:dyDescent="0.3">
      <c r="A1430" s="5">
        <v>44077</v>
      </c>
      <c r="B1430" s="6">
        <v>11861.900390999999</v>
      </c>
      <c r="C1430" s="6">
        <v>11894.400390999999</v>
      </c>
      <c r="D1430" s="6">
        <v>11361.360352</v>
      </c>
      <c r="E1430" s="6">
        <v>11458.099609000001</v>
      </c>
      <c r="F1430" s="6">
        <v>11458.099609000001</v>
      </c>
      <c r="G1430" s="4">
        <v>4437500000</v>
      </c>
      <c r="H1430">
        <f t="shared" si="22"/>
        <v>-5.0902123323580739E-2</v>
      </c>
    </row>
    <row r="1431" spans="1:8" x14ac:dyDescent="0.3">
      <c r="A1431" s="5">
        <v>44078</v>
      </c>
      <c r="B1431" s="6">
        <v>11396.240234000001</v>
      </c>
      <c r="C1431" s="6">
        <v>11531.179688</v>
      </c>
      <c r="D1431" s="6">
        <v>10875.870117</v>
      </c>
      <c r="E1431" s="6">
        <v>11313.129883</v>
      </c>
      <c r="F1431" s="6">
        <v>11313.129883</v>
      </c>
      <c r="G1431" s="4">
        <v>4269190000</v>
      </c>
      <c r="H1431">
        <f t="shared" si="22"/>
        <v>-1.2732881609439179E-2</v>
      </c>
    </row>
    <row r="1432" spans="1:8" x14ac:dyDescent="0.3">
      <c r="A1432" s="5">
        <v>44082</v>
      </c>
      <c r="B1432" s="6">
        <v>10900.700194999999</v>
      </c>
      <c r="C1432" s="6">
        <v>11131.5</v>
      </c>
      <c r="D1432" s="6">
        <v>10837.200194999999</v>
      </c>
      <c r="E1432" s="6">
        <v>10847.690430000001</v>
      </c>
      <c r="F1432" s="6">
        <v>10847.690430000001</v>
      </c>
      <c r="G1432" s="4">
        <v>3872230000</v>
      </c>
      <c r="H1432">
        <f t="shared" si="22"/>
        <v>-4.2011794007821332E-2</v>
      </c>
    </row>
    <row r="1433" spans="1:8" x14ac:dyDescent="0.3">
      <c r="A1433" s="5">
        <v>44083</v>
      </c>
      <c r="B1433" s="6">
        <v>11064.759765999999</v>
      </c>
      <c r="C1433" s="6">
        <v>11217.690430000001</v>
      </c>
      <c r="D1433" s="6">
        <v>10970.450194999999</v>
      </c>
      <c r="E1433" s="6">
        <v>11141.559569999999</v>
      </c>
      <c r="F1433" s="6">
        <v>11141.559569999999</v>
      </c>
      <c r="G1433" s="4">
        <v>3531780000</v>
      </c>
      <c r="H1433">
        <f t="shared" si="22"/>
        <v>2.6730028274103229E-2</v>
      </c>
    </row>
    <row r="1434" spans="1:8" x14ac:dyDescent="0.3">
      <c r="A1434" s="5">
        <v>44084</v>
      </c>
      <c r="B1434" s="6">
        <v>11235.530273</v>
      </c>
      <c r="C1434" s="6">
        <v>11299.530273</v>
      </c>
      <c r="D1434" s="6">
        <v>10875.019531</v>
      </c>
      <c r="E1434" s="6">
        <v>10919.589844</v>
      </c>
      <c r="F1434" s="6">
        <v>10919.589844</v>
      </c>
      <c r="G1434" s="4">
        <v>3814100000</v>
      </c>
      <c r="H1434">
        <f t="shared" si="22"/>
        <v>-2.0123812469329514E-2</v>
      </c>
    </row>
    <row r="1435" spans="1:8" x14ac:dyDescent="0.3">
      <c r="A1435" s="5">
        <v>44085</v>
      </c>
      <c r="B1435" s="6">
        <v>11010.070313</v>
      </c>
      <c r="C1435" s="6">
        <v>11033.040039</v>
      </c>
      <c r="D1435" s="6">
        <v>10728.030273</v>
      </c>
      <c r="E1435" s="6">
        <v>10853.549805000001</v>
      </c>
      <c r="F1435" s="6">
        <v>10853.549805000001</v>
      </c>
      <c r="G1435" s="4">
        <v>3609190000</v>
      </c>
      <c r="H1435">
        <f t="shared" si="22"/>
        <v>-6.0662120926415122E-3</v>
      </c>
    </row>
    <row r="1436" spans="1:8" x14ac:dyDescent="0.3">
      <c r="A1436" s="5">
        <v>44088</v>
      </c>
      <c r="B1436" s="6">
        <v>11010.139648</v>
      </c>
      <c r="C1436" s="6">
        <v>11118.290039</v>
      </c>
      <c r="D1436" s="6">
        <v>10982.259765999999</v>
      </c>
      <c r="E1436" s="6">
        <v>11056.650390999999</v>
      </c>
      <c r="F1436" s="6">
        <v>11056.650390999999</v>
      </c>
      <c r="G1436" s="4">
        <v>3716820000</v>
      </c>
      <c r="H1436">
        <f t="shared" si="22"/>
        <v>1.8539894821395491E-2</v>
      </c>
    </row>
    <row r="1437" spans="1:8" x14ac:dyDescent="0.3">
      <c r="A1437" s="5">
        <v>44089</v>
      </c>
      <c r="B1437" s="6">
        <v>11193.959961</v>
      </c>
      <c r="C1437" s="6">
        <v>11244.459961</v>
      </c>
      <c r="D1437" s="6">
        <v>11127.980469</v>
      </c>
      <c r="E1437" s="6">
        <v>11190.320313</v>
      </c>
      <c r="F1437" s="6">
        <v>11190.320313</v>
      </c>
      <c r="G1437" s="4">
        <v>3772820000</v>
      </c>
      <c r="H1437">
        <f t="shared" si="22"/>
        <v>1.2017054580268666E-2</v>
      </c>
    </row>
    <row r="1438" spans="1:8" x14ac:dyDescent="0.3">
      <c r="A1438" s="5">
        <v>44090</v>
      </c>
      <c r="B1438" s="6">
        <v>11222.080078000001</v>
      </c>
      <c r="C1438" s="6">
        <v>11245.419921999999</v>
      </c>
      <c r="D1438" s="6">
        <v>11046.429688</v>
      </c>
      <c r="E1438" s="6">
        <v>11050.469727</v>
      </c>
      <c r="F1438" s="6">
        <v>11050.469727</v>
      </c>
      <c r="G1438" s="4">
        <v>3661710000</v>
      </c>
      <c r="H1438">
        <f t="shared" si="22"/>
        <v>-1.2576210556084849E-2</v>
      </c>
    </row>
    <row r="1439" spans="1:8" x14ac:dyDescent="0.3">
      <c r="A1439" s="5">
        <v>44091</v>
      </c>
      <c r="B1439" s="6">
        <v>10796.049805000001</v>
      </c>
      <c r="C1439" s="6">
        <v>10974.450194999999</v>
      </c>
      <c r="D1439" s="6">
        <v>10783.809569999999</v>
      </c>
      <c r="E1439" s="6">
        <v>10910.280273</v>
      </c>
      <c r="F1439" s="6">
        <v>10910.280273</v>
      </c>
      <c r="G1439" s="4">
        <v>3726750000</v>
      </c>
      <c r="H1439">
        <f t="shared" si="22"/>
        <v>-1.2767447225159854E-2</v>
      </c>
    </row>
    <row r="1440" spans="1:8" x14ac:dyDescent="0.3">
      <c r="A1440" s="5">
        <v>44092</v>
      </c>
      <c r="B1440" s="6">
        <v>10973.450194999999</v>
      </c>
      <c r="C1440" s="6">
        <v>10977.679688</v>
      </c>
      <c r="D1440" s="6">
        <v>10639.950194999999</v>
      </c>
      <c r="E1440" s="6">
        <v>10793.280273</v>
      </c>
      <c r="F1440" s="6">
        <v>10793.280273</v>
      </c>
      <c r="G1440" s="4">
        <v>5745690000</v>
      </c>
      <c r="H1440">
        <f t="shared" si="22"/>
        <v>-1.0781745524996302E-2</v>
      </c>
    </row>
    <row r="1441" spans="1:8" x14ac:dyDescent="0.3">
      <c r="A1441" s="5">
        <v>44095</v>
      </c>
      <c r="B1441" s="6">
        <v>10610.139648</v>
      </c>
      <c r="C1441" s="6">
        <v>10782.740234000001</v>
      </c>
      <c r="D1441" s="6">
        <v>10519.490234000001</v>
      </c>
      <c r="E1441" s="6">
        <v>10778.799805000001</v>
      </c>
      <c r="F1441" s="6">
        <v>10778.799805000001</v>
      </c>
      <c r="G1441" s="4">
        <v>3885200000</v>
      </c>
      <c r="H1441">
        <f t="shared" si="22"/>
        <v>-1.3425196014995042E-3</v>
      </c>
    </row>
    <row r="1442" spans="1:8" x14ac:dyDescent="0.3">
      <c r="A1442" s="5">
        <v>44096</v>
      </c>
      <c r="B1442" s="6">
        <v>10873.299805000001</v>
      </c>
      <c r="C1442" s="6">
        <v>10979.650390999999</v>
      </c>
      <c r="D1442" s="6">
        <v>10737.519531</v>
      </c>
      <c r="E1442" s="6">
        <v>10963.639648</v>
      </c>
      <c r="F1442" s="6">
        <v>10963.639648</v>
      </c>
      <c r="G1442" s="4">
        <v>3492020000</v>
      </c>
      <c r="H1442">
        <f t="shared" si="22"/>
        <v>1.7003087124108671E-2</v>
      </c>
    </row>
    <row r="1443" spans="1:8" x14ac:dyDescent="0.3">
      <c r="A1443" s="5">
        <v>44097</v>
      </c>
      <c r="B1443" s="6">
        <v>10950.820313</v>
      </c>
      <c r="C1443" s="6">
        <v>10962.030273</v>
      </c>
      <c r="D1443" s="6">
        <v>10612.910156</v>
      </c>
      <c r="E1443" s="6">
        <v>10632.990234000001</v>
      </c>
      <c r="F1443" s="6">
        <v>10632.990234000001</v>
      </c>
      <c r="G1443" s="4">
        <v>4074600000</v>
      </c>
      <c r="H1443">
        <f t="shared" si="22"/>
        <v>-3.0622856856358634E-2</v>
      </c>
    </row>
    <row r="1444" spans="1:8" x14ac:dyDescent="0.3">
      <c r="A1444" s="5">
        <v>44098</v>
      </c>
      <c r="B1444" s="6">
        <v>10551.019531</v>
      </c>
      <c r="C1444" s="6">
        <v>10799.549805000001</v>
      </c>
      <c r="D1444" s="6">
        <v>10520.219727</v>
      </c>
      <c r="E1444" s="6">
        <v>10672.269531</v>
      </c>
      <c r="F1444" s="6">
        <v>10672.269531</v>
      </c>
      <c r="G1444" s="4">
        <v>4080730000</v>
      </c>
      <c r="H1444">
        <f t="shared" si="22"/>
        <v>3.6872905505076774E-3</v>
      </c>
    </row>
    <row r="1445" spans="1:8" x14ac:dyDescent="0.3">
      <c r="A1445" s="5">
        <v>44099</v>
      </c>
      <c r="B1445" s="6">
        <v>10680.459961</v>
      </c>
      <c r="C1445" s="6">
        <v>10939.549805000001</v>
      </c>
      <c r="D1445" s="6">
        <v>10639.980469</v>
      </c>
      <c r="E1445" s="6">
        <v>10913.559569999999</v>
      </c>
      <c r="F1445" s="6">
        <v>10913.559569999999</v>
      </c>
      <c r="G1445" s="4">
        <v>3767230000</v>
      </c>
      <c r="H1445">
        <f t="shared" si="22"/>
        <v>2.2357268601696168E-2</v>
      </c>
    </row>
    <row r="1446" spans="1:8" x14ac:dyDescent="0.3">
      <c r="A1446" s="5">
        <v>44102</v>
      </c>
      <c r="B1446" s="6">
        <v>11084.379883</v>
      </c>
      <c r="C1446" s="6">
        <v>11120.790039</v>
      </c>
      <c r="D1446" s="6">
        <v>11019.139648</v>
      </c>
      <c r="E1446" s="6">
        <v>11117.530273</v>
      </c>
      <c r="F1446" s="6">
        <v>11117.530273</v>
      </c>
      <c r="G1446" s="4">
        <v>3562900000</v>
      </c>
      <c r="H1446">
        <f t="shared" si="22"/>
        <v>1.8517153043942233E-2</v>
      </c>
    </row>
    <row r="1447" spans="1:8" x14ac:dyDescent="0.3">
      <c r="A1447" s="5">
        <v>44103</v>
      </c>
      <c r="B1447" s="6">
        <v>11109</v>
      </c>
      <c r="C1447" s="6">
        <v>11153.230469</v>
      </c>
      <c r="D1447" s="6">
        <v>11065.629883</v>
      </c>
      <c r="E1447" s="6">
        <v>11085.25</v>
      </c>
      <c r="F1447" s="6">
        <v>11085.25</v>
      </c>
      <c r="G1447" s="4">
        <v>3363870000</v>
      </c>
      <c r="H1447">
        <f t="shared" si="22"/>
        <v>-2.9077705897709843E-3</v>
      </c>
    </row>
    <row r="1448" spans="1:8" x14ac:dyDescent="0.3">
      <c r="A1448" s="5">
        <v>44104</v>
      </c>
      <c r="B1448" s="6">
        <v>11092.900390999999</v>
      </c>
      <c r="C1448" s="6">
        <v>11277.959961</v>
      </c>
      <c r="D1448" s="6">
        <v>11092.900390999999</v>
      </c>
      <c r="E1448" s="6">
        <v>11167.509765999999</v>
      </c>
      <c r="F1448" s="6">
        <v>11167.509765999999</v>
      </c>
      <c r="G1448" s="4">
        <v>4228200000</v>
      </c>
      <c r="H1448">
        <f t="shared" si="22"/>
        <v>7.3932529321484915E-3</v>
      </c>
    </row>
    <row r="1449" spans="1:8" x14ac:dyDescent="0.3">
      <c r="A1449" s="5">
        <v>44105</v>
      </c>
      <c r="B1449" s="6">
        <v>11291.990234000001</v>
      </c>
      <c r="C1449" s="6">
        <v>11344.129883</v>
      </c>
      <c r="D1449" s="6">
        <v>11240.530273</v>
      </c>
      <c r="E1449" s="6">
        <v>11326.509765999999</v>
      </c>
      <c r="F1449" s="6">
        <v>11326.509765999999</v>
      </c>
      <c r="G1449" s="4">
        <v>3978100000</v>
      </c>
      <c r="H1449">
        <f t="shared" si="22"/>
        <v>1.4137326409177845E-2</v>
      </c>
    </row>
    <row r="1450" spans="1:8" x14ac:dyDescent="0.3">
      <c r="A1450" s="5">
        <v>44106</v>
      </c>
      <c r="B1450" s="6">
        <v>11082.530273</v>
      </c>
      <c r="C1450" s="6">
        <v>11244.870117</v>
      </c>
      <c r="D1450" s="6">
        <v>11033.690430000001</v>
      </c>
      <c r="E1450" s="6">
        <v>11075.019531</v>
      </c>
      <c r="F1450" s="6">
        <v>11075.019531</v>
      </c>
      <c r="G1450" s="4">
        <v>3715090000</v>
      </c>
      <c r="H1450">
        <f t="shared" si="22"/>
        <v>-2.2453895703745896E-2</v>
      </c>
    </row>
    <row r="1451" spans="1:8" x14ac:dyDescent="0.3">
      <c r="A1451" s="5">
        <v>44109</v>
      </c>
      <c r="B1451" s="6">
        <v>11169.110352</v>
      </c>
      <c r="C1451" s="6">
        <v>11335.209961</v>
      </c>
      <c r="D1451" s="6">
        <v>11162.519531</v>
      </c>
      <c r="E1451" s="6">
        <v>11332.490234000001</v>
      </c>
      <c r="F1451" s="6">
        <v>11332.490234000001</v>
      </c>
      <c r="G1451" s="4">
        <v>3597940000</v>
      </c>
      <c r="H1451">
        <f t="shared" si="22"/>
        <v>2.2981762612159284E-2</v>
      </c>
    </row>
    <row r="1452" spans="1:8" x14ac:dyDescent="0.3">
      <c r="A1452" s="5">
        <v>44110</v>
      </c>
      <c r="B1452" s="6">
        <v>11314.530273</v>
      </c>
      <c r="C1452" s="6">
        <v>11392.410156</v>
      </c>
      <c r="D1452" s="6">
        <v>11124.450194999999</v>
      </c>
      <c r="E1452" s="6">
        <v>11154.599609000001</v>
      </c>
      <c r="F1452" s="6">
        <v>11154.599609000001</v>
      </c>
      <c r="G1452" s="4">
        <v>4360550000</v>
      </c>
      <c r="H1452">
        <f t="shared" si="22"/>
        <v>-1.5821908233962675E-2</v>
      </c>
    </row>
    <row r="1453" spans="1:8" x14ac:dyDescent="0.3">
      <c r="A1453" s="5">
        <v>44111</v>
      </c>
      <c r="B1453" s="6">
        <v>11271.679688</v>
      </c>
      <c r="C1453" s="6">
        <v>11380.559569999999</v>
      </c>
      <c r="D1453" s="6">
        <v>11258.349609000001</v>
      </c>
      <c r="E1453" s="6">
        <v>11364.599609000001</v>
      </c>
      <c r="F1453" s="6">
        <v>11364.599609000001</v>
      </c>
      <c r="G1453" s="4">
        <v>3891460000</v>
      </c>
      <c r="H1453">
        <f t="shared" si="22"/>
        <v>1.8651292674245225E-2</v>
      </c>
    </row>
    <row r="1454" spans="1:8" x14ac:dyDescent="0.3">
      <c r="A1454" s="5">
        <v>44112</v>
      </c>
      <c r="B1454" s="6">
        <v>11443.349609000001</v>
      </c>
      <c r="C1454" s="6">
        <v>11448.230469</v>
      </c>
      <c r="D1454" s="6">
        <v>11384.330078000001</v>
      </c>
      <c r="E1454" s="6">
        <v>11420.980469</v>
      </c>
      <c r="F1454" s="6">
        <v>11420.980469</v>
      </c>
      <c r="G1454" s="4">
        <v>3486530000</v>
      </c>
      <c r="H1454">
        <f t="shared" si="22"/>
        <v>4.9488294680387727E-3</v>
      </c>
    </row>
    <row r="1455" spans="1:8" x14ac:dyDescent="0.3">
      <c r="A1455" s="5">
        <v>44113</v>
      </c>
      <c r="B1455" s="6">
        <v>11487.599609000001</v>
      </c>
      <c r="C1455" s="6">
        <v>11581.230469</v>
      </c>
      <c r="D1455" s="6">
        <v>11476.660156</v>
      </c>
      <c r="E1455" s="6">
        <v>11579.940430000001</v>
      </c>
      <c r="F1455" s="6">
        <v>11579.940430000001</v>
      </c>
      <c r="G1455" s="4">
        <v>3475620000</v>
      </c>
      <c r="H1455">
        <f t="shared" si="22"/>
        <v>1.3822271945885884E-2</v>
      </c>
    </row>
    <row r="1456" spans="1:8" x14ac:dyDescent="0.3">
      <c r="A1456" s="5">
        <v>44116</v>
      </c>
      <c r="B1456" s="6">
        <v>11732.330078000001</v>
      </c>
      <c r="C1456" s="6">
        <v>11965.540039</v>
      </c>
      <c r="D1456" s="6">
        <v>11704.129883</v>
      </c>
      <c r="E1456" s="6">
        <v>11876.259765999999</v>
      </c>
      <c r="F1456" s="6">
        <v>11876.259765999999</v>
      </c>
      <c r="G1456" s="4">
        <v>3862990000</v>
      </c>
      <c r="H1456">
        <f t="shared" si="22"/>
        <v>2.5267101934469433E-2</v>
      </c>
    </row>
    <row r="1457" spans="1:8" x14ac:dyDescent="0.3">
      <c r="A1457" s="5">
        <v>44117</v>
      </c>
      <c r="B1457" s="6">
        <v>11901.759765999999</v>
      </c>
      <c r="C1457" s="6">
        <v>11946.980469</v>
      </c>
      <c r="D1457" s="6">
        <v>11821.830078000001</v>
      </c>
      <c r="E1457" s="6">
        <v>11863.900390999999</v>
      </c>
      <c r="F1457" s="6">
        <v>11863.900390999999</v>
      </c>
      <c r="G1457" s="4">
        <v>3607730000</v>
      </c>
      <c r="H1457">
        <f t="shared" si="22"/>
        <v>-1.0412209551134979E-3</v>
      </c>
    </row>
    <row r="1458" spans="1:8" x14ac:dyDescent="0.3">
      <c r="A1458" s="5">
        <v>44118</v>
      </c>
      <c r="B1458" s="6">
        <v>11889.070313</v>
      </c>
      <c r="C1458" s="6">
        <v>11939.919921999999</v>
      </c>
      <c r="D1458" s="6">
        <v>11714.349609000001</v>
      </c>
      <c r="E1458" s="6">
        <v>11768.730469</v>
      </c>
      <c r="F1458" s="6">
        <v>11768.730469</v>
      </c>
      <c r="G1458" s="4">
        <v>3393010000</v>
      </c>
      <c r="H1458">
        <f t="shared" si="22"/>
        <v>-8.0541550393875457E-3</v>
      </c>
    </row>
    <row r="1459" spans="1:8" x14ac:dyDescent="0.3">
      <c r="A1459" s="5">
        <v>44119</v>
      </c>
      <c r="B1459" s="6">
        <v>11559.879883</v>
      </c>
      <c r="C1459" s="6">
        <v>11740.679688</v>
      </c>
      <c r="D1459" s="6">
        <v>11559.099609000001</v>
      </c>
      <c r="E1459" s="6">
        <v>11713.870117</v>
      </c>
      <c r="F1459" s="6">
        <v>11713.870117</v>
      </c>
      <c r="G1459" s="4">
        <v>3304490000</v>
      </c>
      <c r="H1459">
        <f t="shared" si="22"/>
        <v>-4.6724340949096674E-3</v>
      </c>
    </row>
    <row r="1460" spans="1:8" x14ac:dyDescent="0.3">
      <c r="A1460" s="5">
        <v>44120</v>
      </c>
      <c r="B1460" s="6">
        <v>11761.830078000001</v>
      </c>
      <c r="C1460" s="6">
        <v>11827.419921999999</v>
      </c>
      <c r="D1460" s="6">
        <v>11648.530273</v>
      </c>
      <c r="E1460" s="6">
        <v>11671.559569999999</v>
      </c>
      <c r="F1460" s="6">
        <v>11671.559569999999</v>
      </c>
      <c r="G1460" s="4">
        <v>3156270000</v>
      </c>
      <c r="H1460">
        <f t="shared" si="22"/>
        <v>-3.6185431470482253E-3</v>
      </c>
    </row>
    <row r="1461" spans="1:8" x14ac:dyDescent="0.3">
      <c r="A1461" s="5">
        <v>44123</v>
      </c>
      <c r="B1461" s="6">
        <v>11732.339844</v>
      </c>
      <c r="C1461" s="6">
        <v>11778.110352</v>
      </c>
      <c r="D1461" s="6">
        <v>11454.570313</v>
      </c>
      <c r="E1461" s="6">
        <v>11478.879883</v>
      </c>
      <c r="F1461" s="6">
        <v>11478.879883</v>
      </c>
      <c r="G1461" s="4">
        <v>3455430000</v>
      </c>
      <c r="H1461">
        <f t="shared" si="22"/>
        <v>-1.6646261651668832E-2</v>
      </c>
    </row>
    <row r="1462" spans="1:8" x14ac:dyDescent="0.3">
      <c r="A1462" s="5">
        <v>44124</v>
      </c>
      <c r="B1462" s="6">
        <v>11531.830078000001</v>
      </c>
      <c r="C1462" s="6">
        <v>11632.889648</v>
      </c>
      <c r="D1462" s="6">
        <v>11471.230469</v>
      </c>
      <c r="E1462" s="6">
        <v>11516.490234000001</v>
      </c>
      <c r="F1462" s="6">
        <v>11516.490234000001</v>
      </c>
      <c r="G1462" s="4">
        <v>3483200000</v>
      </c>
      <c r="H1462">
        <f t="shared" si="22"/>
        <v>3.2711266959720509E-3</v>
      </c>
    </row>
    <row r="1463" spans="1:8" x14ac:dyDescent="0.3">
      <c r="A1463" s="5">
        <v>44125</v>
      </c>
      <c r="B1463" s="6">
        <v>11530.389648</v>
      </c>
      <c r="C1463" s="6">
        <v>11613.790039</v>
      </c>
      <c r="D1463" s="6">
        <v>11476.080078000001</v>
      </c>
      <c r="E1463" s="6">
        <v>11484.690430000001</v>
      </c>
      <c r="F1463" s="6">
        <v>11484.690430000001</v>
      </c>
      <c r="G1463" s="4">
        <v>3445520000</v>
      </c>
      <c r="H1463">
        <f t="shared" si="22"/>
        <v>-2.765060170182675E-3</v>
      </c>
    </row>
    <row r="1464" spans="1:8" x14ac:dyDescent="0.3">
      <c r="A1464" s="5">
        <v>44126</v>
      </c>
      <c r="B1464" s="6">
        <v>11526.969727</v>
      </c>
      <c r="C1464" s="6">
        <v>11548.769531</v>
      </c>
      <c r="D1464" s="6">
        <v>11369.290039</v>
      </c>
      <c r="E1464" s="6">
        <v>11506.009765999999</v>
      </c>
      <c r="F1464" s="6">
        <v>11506.009765999999</v>
      </c>
      <c r="G1464" s="4">
        <v>3414590000</v>
      </c>
      <c r="H1464">
        <f t="shared" si="22"/>
        <v>1.8546057257074965E-3</v>
      </c>
    </row>
    <row r="1465" spans="1:8" x14ac:dyDescent="0.3">
      <c r="A1465" s="5">
        <v>44127</v>
      </c>
      <c r="B1465" s="6">
        <v>11536.009765999999</v>
      </c>
      <c r="C1465" s="6">
        <v>11548.849609000001</v>
      </c>
      <c r="D1465" s="6">
        <v>11434.860352</v>
      </c>
      <c r="E1465" s="6">
        <v>11548.280273</v>
      </c>
      <c r="F1465" s="6">
        <v>11548.280273</v>
      </c>
      <c r="G1465" s="4">
        <v>3134240000</v>
      </c>
      <c r="H1465">
        <f t="shared" si="22"/>
        <v>3.6670445541258337E-3</v>
      </c>
    </row>
    <row r="1466" spans="1:8" x14ac:dyDescent="0.3">
      <c r="A1466" s="5">
        <v>44130</v>
      </c>
      <c r="B1466" s="6">
        <v>11440.639648</v>
      </c>
      <c r="C1466" s="6">
        <v>11545.629883</v>
      </c>
      <c r="D1466" s="6">
        <v>11221.059569999999</v>
      </c>
      <c r="E1466" s="6">
        <v>11358.940430000001</v>
      </c>
      <c r="F1466" s="6">
        <v>11358.940430000001</v>
      </c>
      <c r="G1466" s="4">
        <v>3186950000</v>
      </c>
      <c r="H1466">
        <f t="shared" si="22"/>
        <v>-1.6531394833560756E-2</v>
      </c>
    </row>
    <row r="1467" spans="1:8" x14ac:dyDescent="0.3">
      <c r="A1467" s="5">
        <v>44131</v>
      </c>
      <c r="B1467" s="6">
        <v>11409.339844</v>
      </c>
      <c r="C1467" s="6">
        <v>11465.059569999999</v>
      </c>
      <c r="D1467" s="6">
        <v>11361.860352</v>
      </c>
      <c r="E1467" s="6">
        <v>11431.349609000001</v>
      </c>
      <c r="F1467" s="6">
        <v>11431.349609000001</v>
      </c>
      <c r="G1467" s="4">
        <v>3079530000</v>
      </c>
      <c r="H1467">
        <f t="shared" si="22"/>
        <v>6.3544099284314186E-3</v>
      </c>
    </row>
    <row r="1468" spans="1:8" x14ac:dyDescent="0.3">
      <c r="A1468" s="5">
        <v>44132</v>
      </c>
      <c r="B1468" s="6">
        <v>11230.900390999999</v>
      </c>
      <c r="C1468" s="6">
        <v>11249.950194999999</v>
      </c>
      <c r="D1468" s="6">
        <v>10999.070313</v>
      </c>
      <c r="E1468" s="6">
        <v>11004.870117</v>
      </c>
      <c r="F1468" s="6">
        <v>11004.870117</v>
      </c>
      <c r="G1468" s="4">
        <v>3912580000</v>
      </c>
      <c r="H1468">
        <f t="shared" si="22"/>
        <v>-3.8021634136338453E-2</v>
      </c>
    </row>
    <row r="1469" spans="1:8" x14ac:dyDescent="0.3">
      <c r="A1469" s="5">
        <v>44133</v>
      </c>
      <c r="B1469" s="6">
        <v>11064.469727</v>
      </c>
      <c r="C1469" s="6">
        <v>11287.629883</v>
      </c>
      <c r="D1469" s="6">
        <v>11030.190430000001</v>
      </c>
      <c r="E1469" s="6">
        <v>11185.589844</v>
      </c>
      <c r="F1469" s="6">
        <v>11185.589844</v>
      </c>
      <c r="G1469" s="4">
        <v>3222460000</v>
      </c>
      <c r="H1469">
        <f t="shared" si="22"/>
        <v>1.6288416094137014E-2</v>
      </c>
    </row>
    <row r="1470" spans="1:8" x14ac:dyDescent="0.3">
      <c r="A1470" s="5">
        <v>44134</v>
      </c>
      <c r="B1470" s="6">
        <v>11103.469727</v>
      </c>
      <c r="C1470" s="6">
        <v>11129.809569999999</v>
      </c>
      <c r="D1470" s="6">
        <v>10822.570313</v>
      </c>
      <c r="E1470" s="6">
        <v>10911.589844</v>
      </c>
      <c r="F1470" s="6">
        <v>10911.589844</v>
      </c>
      <c r="G1470" s="4">
        <v>3662840000</v>
      </c>
      <c r="H1470">
        <f t="shared" si="22"/>
        <v>-2.4800816037385189E-2</v>
      </c>
    </row>
    <row r="1471" spans="1:8" x14ac:dyDescent="0.3">
      <c r="A1471" s="5">
        <v>44137</v>
      </c>
      <c r="B1471" s="6">
        <v>11010.450194999999</v>
      </c>
      <c r="C1471" s="6">
        <v>11071.080078000001</v>
      </c>
      <c r="D1471" s="6">
        <v>10830.950194999999</v>
      </c>
      <c r="E1471" s="6">
        <v>10957.610352</v>
      </c>
      <c r="F1471" s="6">
        <v>10957.610352</v>
      </c>
      <c r="G1471" s="4">
        <v>3196720000</v>
      </c>
      <c r="H1471">
        <f t="shared" si="22"/>
        <v>4.2087113857476122E-3</v>
      </c>
    </row>
    <row r="1472" spans="1:8" x14ac:dyDescent="0.3">
      <c r="A1472" s="5">
        <v>44138</v>
      </c>
      <c r="B1472" s="6">
        <v>11038.660156</v>
      </c>
      <c r="C1472" s="6">
        <v>11213.919921999999</v>
      </c>
      <c r="D1472" s="6">
        <v>11004.839844</v>
      </c>
      <c r="E1472" s="6">
        <v>11160.570313</v>
      </c>
      <c r="F1472" s="6">
        <v>11160.570313</v>
      </c>
      <c r="G1472" s="4">
        <v>3190710000</v>
      </c>
      <c r="H1472">
        <f t="shared" si="22"/>
        <v>1.8352834792395981E-2</v>
      </c>
    </row>
    <row r="1473" spans="1:8" x14ac:dyDescent="0.3">
      <c r="A1473" s="5">
        <v>44139</v>
      </c>
      <c r="B1473" s="6">
        <v>11443.769531</v>
      </c>
      <c r="C1473" s="6">
        <v>11663.309569999999</v>
      </c>
      <c r="D1473" s="6">
        <v>11394.209961</v>
      </c>
      <c r="E1473" s="6">
        <v>11590.780273</v>
      </c>
      <c r="F1473" s="6">
        <v>11590.780273</v>
      </c>
      <c r="G1473" s="4">
        <v>3606820000</v>
      </c>
      <c r="H1473">
        <f t="shared" si="22"/>
        <v>3.7822919073544729E-2</v>
      </c>
    </row>
    <row r="1474" spans="1:8" x14ac:dyDescent="0.3">
      <c r="A1474" s="5">
        <v>44140</v>
      </c>
      <c r="B1474" s="6">
        <v>11816.330078000001</v>
      </c>
      <c r="C1474" s="6">
        <v>11924.280273</v>
      </c>
      <c r="D1474" s="6">
        <v>11784.150390999999</v>
      </c>
      <c r="E1474" s="6">
        <v>11890.929688</v>
      </c>
      <c r="F1474" s="6">
        <v>11890.929688</v>
      </c>
      <c r="G1474" s="4">
        <v>3823380000</v>
      </c>
      <c r="H1474">
        <f t="shared" si="22"/>
        <v>2.5565920358089442E-2</v>
      </c>
    </row>
    <row r="1475" spans="1:8" x14ac:dyDescent="0.3">
      <c r="A1475" s="5">
        <v>44141</v>
      </c>
      <c r="B1475" s="6">
        <v>11869.900390999999</v>
      </c>
      <c r="C1475" s="6">
        <v>11920.540039</v>
      </c>
      <c r="D1475" s="6">
        <v>11737.129883</v>
      </c>
      <c r="E1475" s="6">
        <v>11895.230469</v>
      </c>
      <c r="F1475" s="6">
        <v>11895.230469</v>
      </c>
      <c r="G1475" s="4">
        <v>4156030000</v>
      </c>
      <c r="H1475">
        <f t="shared" si="22"/>
        <v>3.6162045647393791E-4</v>
      </c>
    </row>
    <row r="1476" spans="1:8" x14ac:dyDescent="0.3">
      <c r="A1476" s="5">
        <v>44144</v>
      </c>
      <c r="B1476" s="6">
        <v>12046.660156</v>
      </c>
      <c r="C1476" s="6">
        <v>12108.070313</v>
      </c>
      <c r="D1476" s="6">
        <v>11703.490234000001</v>
      </c>
      <c r="E1476" s="6">
        <v>11713.780273</v>
      </c>
      <c r="F1476" s="6">
        <v>11713.780273</v>
      </c>
      <c r="G1476" s="4">
        <v>5823620000</v>
      </c>
      <c r="H1476">
        <f t="shared" ref="H1476:H1539" si="23">LN(E1476/E1475)</f>
        <v>-1.5371568999721674E-2</v>
      </c>
    </row>
    <row r="1477" spans="1:8" x14ac:dyDescent="0.3">
      <c r="A1477" s="5">
        <v>44145</v>
      </c>
      <c r="B1477" s="6">
        <v>11622.440430000001</v>
      </c>
      <c r="C1477" s="6">
        <v>11665.870117</v>
      </c>
      <c r="D1477" s="6">
        <v>11424.610352</v>
      </c>
      <c r="E1477" s="6">
        <v>11553.860352</v>
      </c>
      <c r="F1477" s="6">
        <v>11553.860352</v>
      </c>
      <c r="G1477" s="4">
        <v>4712950000</v>
      </c>
      <c r="H1477">
        <f t="shared" si="23"/>
        <v>-1.3746339115315264E-2</v>
      </c>
    </row>
    <row r="1478" spans="1:8" x14ac:dyDescent="0.3">
      <c r="A1478" s="5">
        <v>44146</v>
      </c>
      <c r="B1478" s="6">
        <v>11656.650390999999</v>
      </c>
      <c r="C1478" s="6">
        <v>11793.570313</v>
      </c>
      <c r="D1478" s="6">
        <v>11638.900390999999</v>
      </c>
      <c r="E1478" s="6">
        <v>11786.429688</v>
      </c>
      <c r="F1478" s="6">
        <v>11786.429688</v>
      </c>
      <c r="G1478" s="4">
        <v>3823270000</v>
      </c>
      <c r="H1478">
        <f t="shared" si="23"/>
        <v>1.9929232507184633E-2</v>
      </c>
    </row>
    <row r="1479" spans="1:8" x14ac:dyDescent="0.3">
      <c r="A1479" s="5">
        <v>44147</v>
      </c>
      <c r="B1479" s="6">
        <v>11802.5</v>
      </c>
      <c r="C1479" s="6">
        <v>11847.839844</v>
      </c>
      <c r="D1479" s="6">
        <v>11666.370117</v>
      </c>
      <c r="E1479" s="6">
        <v>11709.589844</v>
      </c>
      <c r="F1479" s="6">
        <v>11709.589844</v>
      </c>
      <c r="G1479" s="4">
        <v>3862690000</v>
      </c>
      <c r="H1479">
        <f t="shared" si="23"/>
        <v>-6.5406923784177692E-3</v>
      </c>
    </row>
    <row r="1480" spans="1:8" x14ac:dyDescent="0.3">
      <c r="A1480" s="5">
        <v>44148</v>
      </c>
      <c r="B1480" s="6">
        <v>11794.940430000001</v>
      </c>
      <c r="C1480" s="6">
        <v>11849.790039</v>
      </c>
      <c r="D1480" s="6">
        <v>11715.519531</v>
      </c>
      <c r="E1480" s="6">
        <v>11829.290039</v>
      </c>
      <c r="F1480" s="6">
        <v>11829.290039</v>
      </c>
      <c r="G1480" s="4">
        <v>3640680000</v>
      </c>
      <c r="H1480">
        <f t="shared" si="23"/>
        <v>1.0170511715254113E-2</v>
      </c>
    </row>
    <row r="1481" spans="1:8" x14ac:dyDescent="0.3">
      <c r="A1481" s="5">
        <v>44151</v>
      </c>
      <c r="B1481" s="6">
        <v>11847.110352</v>
      </c>
      <c r="C1481" s="6">
        <v>11937.719727</v>
      </c>
      <c r="D1481" s="6">
        <v>11814.889648</v>
      </c>
      <c r="E1481" s="6">
        <v>11924.129883</v>
      </c>
      <c r="F1481" s="6">
        <v>11924.129883</v>
      </c>
      <c r="G1481" s="4">
        <v>4138920000</v>
      </c>
      <c r="H1481">
        <f t="shared" si="23"/>
        <v>7.9854057461696305E-3</v>
      </c>
    </row>
    <row r="1482" spans="1:8" x14ac:dyDescent="0.3">
      <c r="A1482" s="5">
        <v>44152</v>
      </c>
      <c r="B1482" s="6">
        <v>11913.349609000001</v>
      </c>
      <c r="C1482" s="6">
        <v>11950.179688</v>
      </c>
      <c r="D1482" s="6">
        <v>11852.410156</v>
      </c>
      <c r="E1482" s="6">
        <v>11899.339844</v>
      </c>
      <c r="F1482" s="6">
        <v>11899.339844</v>
      </c>
      <c r="G1482" s="4">
        <v>4122770000</v>
      </c>
      <c r="H1482">
        <f t="shared" si="23"/>
        <v>-2.0811450415538679E-3</v>
      </c>
    </row>
    <row r="1483" spans="1:8" x14ac:dyDescent="0.3">
      <c r="A1483" s="5">
        <v>44153</v>
      </c>
      <c r="B1483" s="6">
        <v>11896.059569999999</v>
      </c>
      <c r="C1483" s="6">
        <v>11942.490234000001</v>
      </c>
      <c r="D1483" s="6">
        <v>11799.959961</v>
      </c>
      <c r="E1483" s="6">
        <v>11801.599609000001</v>
      </c>
      <c r="F1483" s="6">
        <v>11801.599609000001</v>
      </c>
      <c r="G1483" s="4">
        <v>4699160000</v>
      </c>
      <c r="H1483">
        <f t="shared" si="23"/>
        <v>-8.2478409156281143E-3</v>
      </c>
    </row>
    <row r="1484" spans="1:8" x14ac:dyDescent="0.3">
      <c r="A1484" s="5">
        <v>44154</v>
      </c>
      <c r="B1484" s="6">
        <v>11779.040039</v>
      </c>
      <c r="C1484" s="6">
        <v>11912.629883</v>
      </c>
      <c r="D1484" s="6">
        <v>11760.980469</v>
      </c>
      <c r="E1484" s="6">
        <v>11904.709961</v>
      </c>
      <c r="F1484" s="6">
        <v>11904.709961</v>
      </c>
      <c r="G1484" s="4">
        <v>5322580000</v>
      </c>
      <c r="H1484">
        <f t="shared" si="23"/>
        <v>8.6990344843773989E-3</v>
      </c>
    </row>
    <row r="1485" spans="1:8" x14ac:dyDescent="0.3">
      <c r="A1485" s="5">
        <v>44155</v>
      </c>
      <c r="B1485" s="6">
        <v>11892.700194999999</v>
      </c>
      <c r="C1485" s="6">
        <v>11935.469727</v>
      </c>
      <c r="D1485" s="6">
        <v>11852.509765999999</v>
      </c>
      <c r="E1485" s="6">
        <v>11854.969727</v>
      </c>
      <c r="F1485" s="6">
        <v>11854.969727</v>
      </c>
      <c r="G1485" s="4">
        <v>5319340000</v>
      </c>
      <c r="H1485">
        <f t="shared" si="23"/>
        <v>-4.186950945269453E-3</v>
      </c>
    </row>
    <row r="1486" spans="1:8" x14ac:dyDescent="0.3">
      <c r="A1486" s="5">
        <v>44158</v>
      </c>
      <c r="B1486" s="6">
        <v>11916.759765999999</v>
      </c>
      <c r="C1486" s="6">
        <v>11949.330078000001</v>
      </c>
      <c r="D1486" s="6">
        <v>11796.530273</v>
      </c>
      <c r="E1486" s="6">
        <v>11880.629883</v>
      </c>
      <c r="F1486" s="6">
        <v>11880.629883</v>
      </c>
      <c r="G1486" s="4">
        <v>5360830000</v>
      </c>
      <c r="H1486">
        <f t="shared" si="23"/>
        <v>2.1621670754748364E-3</v>
      </c>
    </row>
    <row r="1487" spans="1:8" x14ac:dyDescent="0.3">
      <c r="A1487" s="5">
        <v>44159</v>
      </c>
      <c r="B1487" s="6">
        <v>11939.330078000001</v>
      </c>
      <c r="C1487" s="6">
        <v>12049.879883</v>
      </c>
      <c r="D1487" s="6">
        <v>11863.450194999999</v>
      </c>
      <c r="E1487" s="6">
        <v>12036.790039</v>
      </c>
      <c r="F1487" s="6">
        <v>12036.790039</v>
      </c>
      <c r="G1487" s="4">
        <v>6277790000</v>
      </c>
      <c r="H1487">
        <f t="shared" si="23"/>
        <v>1.3058463294440928E-2</v>
      </c>
    </row>
    <row r="1488" spans="1:8" x14ac:dyDescent="0.3">
      <c r="A1488" s="5">
        <v>44160</v>
      </c>
      <c r="B1488" s="6">
        <v>12053.889648</v>
      </c>
      <c r="C1488" s="6">
        <v>12114.769531</v>
      </c>
      <c r="D1488" s="6">
        <v>12020.950194999999</v>
      </c>
      <c r="E1488" s="6">
        <v>12094.400390999999</v>
      </c>
      <c r="F1488" s="6">
        <v>12094.400390999999</v>
      </c>
      <c r="G1488" s="4">
        <v>4425030000</v>
      </c>
      <c r="H1488">
        <f t="shared" si="23"/>
        <v>4.7747716068358018E-3</v>
      </c>
    </row>
    <row r="1489" spans="1:8" x14ac:dyDescent="0.3">
      <c r="A1489" s="5">
        <v>44162</v>
      </c>
      <c r="B1489" s="6">
        <v>12159.179688</v>
      </c>
      <c r="C1489" s="6">
        <v>12236.230469</v>
      </c>
      <c r="D1489" s="6">
        <v>12154.570313</v>
      </c>
      <c r="E1489" s="6">
        <v>12205.849609000001</v>
      </c>
      <c r="F1489" s="6">
        <v>12205.849609000001</v>
      </c>
      <c r="G1489" s="4">
        <v>3401890000</v>
      </c>
      <c r="H1489">
        <f t="shared" si="23"/>
        <v>9.1727450900076363E-3</v>
      </c>
    </row>
    <row r="1490" spans="1:8" x14ac:dyDescent="0.3">
      <c r="A1490" s="5">
        <v>44165</v>
      </c>
      <c r="B1490" s="6">
        <v>12224.25</v>
      </c>
      <c r="C1490" s="6">
        <v>12244.650390999999</v>
      </c>
      <c r="D1490" s="6">
        <v>12027.160156</v>
      </c>
      <c r="E1490" s="6">
        <v>12198.740234000001</v>
      </c>
      <c r="F1490" s="6">
        <v>12198.740234000001</v>
      </c>
      <c r="G1490" s="4">
        <v>7693430000</v>
      </c>
      <c r="H1490">
        <f t="shared" si="23"/>
        <v>-5.8262607540995859E-4</v>
      </c>
    </row>
    <row r="1491" spans="1:8" x14ac:dyDescent="0.3">
      <c r="A1491" s="5">
        <v>44166</v>
      </c>
      <c r="B1491" s="6">
        <v>12313.360352</v>
      </c>
      <c r="C1491" s="6">
        <v>12405.790039</v>
      </c>
      <c r="D1491" s="6">
        <v>12263.929688</v>
      </c>
      <c r="E1491" s="6">
        <v>12355.110352</v>
      </c>
      <c r="F1491" s="6">
        <v>12355.110352</v>
      </c>
      <c r="G1491" s="4">
        <v>6467180000</v>
      </c>
      <c r="H1491">
        <f t="shared" si="23"/>
        <v>1.2737084269816042E-2</v>
      </c>
    </row>
    <row r="1492" spans="1:8" x14ac:dyDescent="0.3">
      <c r="A1492" s="5">
        <v>44167</v>
      </c>
      <c r="B1492" s="6">
        <v>12285.75</v>
      </c>
      <c r="C1492" s="6">
        <v>12360.059569999999</v>
      </c>
      <c r="D1492" s="6">
        <v>12217.349609000001</v>
      </c>
      <c r="E1492" s="6">
        <v>12349.370117</v>
      </c>
      <c r="F1492" s="6">
        <v>12349.370117</v>
      </c>
      <c r="G1492" s="4">
        <v>5150820000</v>
      </c>
      <c r="H1492">
        <f t="shared" si="23"/>
        <v>-4.6471206795922158E-4</v>
      </c>
    </row>
    <row r="1493" spans="1:8" x14ac:dyDescent="0.3">
      <c r="A1493" s="5">
        <v>44168</v>
      </c>
      <c r="B1493" s="6">
        <v>12369.259765999999</v>
      </c>
      <c r="C1493" s="6">
        <v>12439.019531</v>
      </c>
      <c r="D1493" s="6">
        <v>12356.990234000001</v>
      </c>
      <c r="E1493" s="6">
        <v>12377.179688</v>
      </c>
      <c r="F1493" s="6">
        <v>12377.179688</v>
      </c>
      <c r="G1493" s="4">
        <v>5182100000</v>
      </c>
      <c r="H1493">
        <f t="shared" si="23"/>
        <v>2.2493702473582048E-3</v>
      </c>
    </row>
    <row r="1494" spans="1:8" x14ac:dyDescent="0.3">
      <c r="A1494" s="5">
        <v>44169</v>
      </c>
      <c r="B1494" s="6">
        <v>12399.320313</v>
      </c>
      <c r="C1494" s="6">
        <v>12464.230469</v>
      </c>
      <c r="D1494" s="6">
        <v>12376.440430000001</v>
      </c>
      <c r="E1494" s="6">
        <v>12464.230469</v>
      </c>
      <c r="F1494" s="6">
        <v>12464.230469</v>
      </c>
      <c r="G1494" s="4">
        <v>5044210000</v>
      </c>
      <c r="H1494">
        <f t="shared" si="23"/>
        <v>7.0085503822683512E-3</v>
      </c>
    </row>
    <row r="1495" spans="1:8" x14ac:dyDescent="0.3">
      <c r="A1495" s="5">
        <v>44172</v>
      </c>
      <c r="B1495" s="6">
        <v>12461</v>
      </c>
      <c r="C1495" s="6">
        <v>12536.230469</v>
      </c>
      <c r="D1495" s="6">
        <v>12460.549805000001</v>
      </c>
      <c r="E1495" s="6">
        <v>12519.950194999999</v>
      </c>
      <c r="F1495" s="6">
        <v>12519.950194999999</v>
      </c>
      <c r="G1495" s="4">
        <v>4741690000</v>
      </c>
      <c r="H1495">
        <f t="shared" si="23"/>
        <v>4.4604078980285599E-3</v>
      </c>
    </row>
    <row r="1496" spans="1:8" x14ac:dyDescent="0.3">
      <c r="A1496" s="5">
        <v>44173</v>
      </c>
      <c r="B1496" s="6">
        <v>12503.169921999999</v>
      </c>
      <c r="C1496" s="6">
        <v>12594.540039</v>
      </c>
      <c r="D1496" s="6">
        <v>12453.209961</v>
      </c>
      <c r="E1496" s="6">
        <v>12582.769531</v>
      </c>
      <c r="F1496" s="6">
        <v>12582.769531</v>
      </c>
      <c r="G1496" s="4">
        <v>4758170000</v>
      </c>
      <c r="H1496">
        <f t="shared" si="23"/>
        <v>5.0049929107883308E-3</v>
      </c>
    </row>
    <row r="1497" spans="1:8" x14ac:dyDescent="0.3">
      <c r="A1497" s="5">
        <v>44174</v>
      </c>
      <c r="B1497" s="6">
        <v>12591.690430000001</v>
      </c>
      <c r="C1497" s="6">
        <v>12607.139648</v>
      </c>
      <c r="D1497" s="6">
        <v>12290.780273</v>
      </c>
      <c r="E1497" s="6">
        <v>12338.950194999999</v>
      </c>
      <c r="F1497" s="6">
        <v>12338.950194999999</v>
      </c>
      <c r="G1497" s="4">
        <v>5131720000</v>
      </c>
      <c r="H1497">
        <f t="shared" si="23"/>
        <v>-1.9567439020120526E-2</v>
      </c>
    </row>
    <row r="1498" spans="1:8" x14ac:dyDescent="0.3">
      <c r="A1498" s="5">
        <v>44175</v>
      </c>
      <c r="B1498" s="6">
        <v>12247.549805000001</v>
      </c>
      <c r="C1498" s="6">
        <v>12431.559569999999</v>
      </c>
      <c r="D1498" s="6">
        <v>12214.740234000001</v>
      </c>
      <c r="E1498" s="6">
        <v>12405.809569999999</v>
      </c>
      <c r="F1498" s="6">
        <v>12405.809569999999</v>
      </c>
      <c r="G1498" s="4">
        <v>4470060000</v>
      </c>
      <c r="H1498">
        <f t="shared" si="23"/>
        <v>5.4039350828246737E-3</v>
      </c>
    </row>
    <row r="1499" spans="1:8" x14ac:dyDescent="0.3">
      <c r="A1499" s="5">
        <v>44176</v>
      </c>
      <c r="B1499" s="6">
        <v>12336.790039</v>
      </c>
      <c r="C1499" s="6">
        <v>12383.5</v>
      </c>
      <c r="D1499" s="6">
        <v>12246.769531</v>
      </c>
      <c r="E1499" s="6">
        <v>12377.870117</v>
      </c>
      <c r="F1499" s="6">
        <v>12377.870117</v>
      </c>
      <c r="G1499" s="4">
        <v>4268140000</v>
      </c>
      <c r="H1499">
        <f t="shared" si="23"/>
        <v>-2.2546663924608319E-3</v>
      </c>
    </row>
    <row r="1500" spans="1:8" x14ac:dyDescent="0.3">
      <c r="A1500" s="5">
        <v>44179</v>
      </c>
      <c r="B1500" s="6">
        <v>12447.440430000001</v>
      </c>
      <c r="C1500" s="6">
        <v>12543</v>
      </c>
      <c r="D1500" s="6">
        <v>12432.709961</v>
      </c>
      <c r="E1500" s="6">
        <v>12440.040039</v>
      </c>
      <c r="F1500" s="6">
        <v>12440.040039</v>
      </c>
      <c r="G1500" s="4">
        <v>4458140000</v>
      </c>
      <c r="H1500">
        <f t="shared" si="23"/>
        <v>5.0100956650576279E-3</v>
      </c>
    </row>
    <row r="1501" spans="1:8" x14ac:dyDescent="0.3">
      <c r="A1501" s="5">
        <v>44180</v>
      </c>
      <c r="B1501" s="6">
        <v>12543.259765999999</v>
      </c>
      <c r="C1501" s="6">
        <v>12596.129883</v>
      </c>
      <c r="D1501" s="6">
        <v>12465.419921999999</v>
      </c>
      <c r="E1501" s="6">
        <v>12595.059569999999</v>
      </c>
      <c r="F1501" s="6">
        <v>12595.059569999999</v>
      </c>
      <c r="G1501" s="4">
        <v>4377950000</v>
      </c>
      <c r="H1501">
        <f t="shared" si="23"/>
        <v>1.2384333573027977E-2</v>
      </c>
    </row>
    <row r="1502" spans="1:8" x14ac:dyDescent="0.3">
      <c r="A1502" s="5">
        <v>44181</v>
      </c>
      <c r="B1502" s="6">
        <v>12611.040039</v>
      </c>
      <c r="C1502" s="6">
        <v>12687.320313</v>
      </c>
      <c r="D1502" s="6">
        <v>12566.379883</v>
      </c>
      <c r="E1502" s="6">
        <v>12658.190430000001</v>
      </c>
      <c r="F1502" s="6">
        <v>12658.190430000001</v>
      </c>
      <c r="G1502" s="4">
        <v>4561600000</v>
      </c>
      <c r="H1502">
        <f t="shared" si="23"/>
        <v>4.9998310327330243E-3</v>
      </c>
    </row>
    <row r="1503" spans="1:8" x14ac:dyDescent="0.3">
      <c r="A1503" s="5">
        <v>44182</v>
      </c>
      <c r="B1503" s="6">
        <v>12730.780273</v>
      </c>
      <c r="C1503" s="6">
        <v>12765.25</v>
      </c>
      <c r="D1503" s="6">
        <v>12696.349609000001</v>
      </c>
      <c r="E1503" s="6">
        <v>12764.75</v>
      </c>
      <c r="F1503" s="6">
        <v>12764.75</v>
      </c>
      <c r="G1503" s="4">
        <v>4994090000</v>
      </c>
      <c r="H1503">
        <f t="shared" si="23"/>
        <v>8.3829952187223656E-3</v>
      </c>
    </row>
    <row r="1504" spans="1:8" x14ac:dyDescent="0.3">
      <c r="A1504" s="5">
        <v>44183</v>
      </c>
      <c r="B1504" s="6">
        <v>12804.929688</v>
      </c>
      <c r="C1504" s="6">
        <v>12809.599609000001</v>
      </c>
      <c r="D1504" s="6">
        <v>12654.599609000001</v>
      </c>
      <c r="E1504" s="6">
        <v>12755.639648</v>
      </c>
      <c r="F1504" s="6">
        <v>12755.639648</v>
      </c>
      <c r="G1504" s="4">
        <v>7088670000</v>
      </c>
      <c r="H1504">
        <f t="shared" si="23"/>
        <v>-7.139665587130395E-4</v>
      </c>
    </row>
    <row r="1505" spans="1:8" x14ac:dyDescent="0.3">
      <c r="A1505" s="5">
        <v>44186</v>
      </c>
      <c r="B1505" s="6">
        <v>12596.139648</v>
      </c>
      <c r="C1505" s="6">
        <v>12751.269531</v>
      </c>
      <c r="D1505" s="6">
        <v>12525.219727</v>
      </c>
      <c r="E1505" s="6">
        <v>12742.519531</v>
      </c>
      <c r="F1505" s="6">
        <v>12742.519531</v>
      </c>
      <c r="G1505" s="4">
        <v>5156470000</v>
      </c>
      <c r="H1505">
        <f t="shared" si="23"/>
        <v>-1.0291031651190425E-3</v>
      </c>
    </row>
    <row r="1506" spans="1:8" x14ac:dyDescent="0.3">
      <c r="A1506" s="5">
        <v>44187</v>
      </c>
      <c r="B1506" s="6">
        <v>12785.219727</v>
      </c>
      <c r="C1506" s="6">
        <v>12840.570313</v>
      </c>
      <c r="D1506" s="6">
        <v>12695.309569999999</v>
      </c>
      <c r="E1506" s="6">
        <v>12807.919921999999</v>
      </c>
      <c r="F1506" s="6">
        <v>12807.919921999999</v>
      </c>
      <c r="G1506" s="4">
        <v>5700760000</v>
      </c>
      <c r="H1506">
        <f t="shared" si="23"/>
        <v>5.1193275130979989E-3</v>
      </c>
    </row>
    <row r="1507" spans="1:8" x14ac:dyDescent="0.3">
      <c r="A1507" s="5">
        <v>44188</v>
      </c>
      <c r="B1507" s="6">
        <v>12834.940430000001</v>
      </c>
      <c r="C1507" s="6">
        <v>12841.919921999999</v>
      </c>
      <c r="D1507" s="6">
        <v>12758.669921999999</v>
      </c>
      <c r="E1507" s="6">
        <v>12771.110352</v>
      </c>
      <c r="F1507" s="6">
        <v>12771.110352</v>
      </c>
      <c r="G1507" s="4">
        <v>7028650000</v>
      </c>
      <c r="H1507">
        <f t="shared" si="23"/>
        <v>-2.8781071850682654E-3</v>
      </c>
    </row>
    <row r="1508" spans="1:8" x14ac:dyDescent="0.3">
      <c r="A1508" s="5">
        <v>44189</v>
      </c>
      <c r="B1508" s="6">
        <v>12791.540039</v>
      </c>
      <c r="C1508" s="6">
        <v>12833.549805000001</v>
      </c>
      <c r="D1508" s="6">
        <v>12767.639648</v>
      </c>
      <c r="E1508" s="6">
        <v>12804.730469</v>
      </c>
      <c r="F1508" s="6">
        <v>12804.730469</v>
      </c>
      <c r="G1508" s="4">
        <v>3305950000</v>
      </c>
      <c r="H1508">
        <f t="shared" si="23"/>
        <v>2.6290542391375423E-3</v>
      </c>
    </row>
    <row r="1509" spans="1:8" x14ac:dyDescent="0.3">
      <c r="A1509" s="5">
        <v>44193</v>
      </c>
      <c r="B1509" s="6">
        <v>12914.639648</v>
      </c>
      <c r="C1509" s="6">
        <v>12930.889648</v>
      </c>
      <c r="D1509" s="6">
        <v>12827.450194999999</v>
      </c>
      <c r="E1509" s="6">
        <v>12899.419921999999</v>
      </c>
      <c r="F1509" s="6">
        <v>12899.419921999999</v>
      </c>
      <c r="G1509" s="4">
        <v>5076340000</v>
      </c>
      <c r="H1509">
        <f t="shared" si="23"/>
        <v>7.3676725269417025E-3</v>
      </c>
    </row>
    <row r="1510" spans="1:8" x14ac:dyDescent="0.3">
      <c r="A1510" s="5">
        <v>44194</v>
      </c>
      <c r="B1510" s="6">
        <v>12965.389648</v>
      </c>
      <c r="C1510" s="6">
        <v>12973.330078000001</v>
      </c>
      <c r="D1510" s="6">
        <v>12821.959961</v>
      </c>
      <c r="E1510" s="6">
        <v>12850.219727</v>
      </c>
      <c r="F1510" s="6">
        <v>12850.219727</v>
      </c>
      <c r="G1510" s="4">
        <v>4680780000</v>
      </c>
      <c r="H1510">
        <f t="shared" si="23"/>
        <v>-3.821432497277955E-3</v>
      </c>
    </row>
    <row r="1511" spans="1:8" x14ac:dyDescent="0.3">
      <c r="A1511" s="5">
        <v>44195</v>
      </c>
      <c r="B1511" s="6">
        <v>12906.509765999999</v>
      </c>
      <c r="C1511" s="6">
        <v>12924.929688</v>
      </c>
      <c r="D1511" s="6">
        <v>12857.759765999999</v>
      </c>
      <c r="E1511" s="6">
        <v>12870</v>
      </c>
      <c r="F1511" s="6">
        <v>12870</v>
      </c>
      <c r="G1511" s="4">
        <v>5292210000</v>
      </c>
      <c r="H1511">
        <f t="shared" si="23"/>
        <v>1.538111035567347E-3</v>
      </c>
    </row>
    <row r="1512" spans="1:8" x14ac:dyDescent="0.3">
      <c r="A1512" s="5">
        <v>44196</v>
      </c>
      <c r="B1512" s="6">
        <v>12877.089844</v>
      </c>
      <c r="C1512" s="6">
        <v>12902.070313</v>
      </c>
      <c r="D1512" s="6">
        <v>12821.230469</v>
      </c>
      <c r="E1512" s="6">
        <v>12888.280273</v>
      </c>
      <c r="F1512" s="6">
        <v>12888.280273</v>
      </c>
      <c r="G1512" s="4">
        <v>4771390000</v>
      </c>
      <c r="H1512">
        <f t="shared" si="23"/>
        <v>1.419370848925494E-3</v>
      </c>
    </row>
    <row r="1513" spans="1:8" x14ac:dyDescent="0.3">
      <c r="A1513" s="5">
        <v>44200</v>
      </c>
      <c r="B1513" s="6">
        <v>12958.519531</v>
      </c>
      <c r="C1513" s="6">
        <v>12958.719727</v>
      </c>
      <c r="D1513" s="6">
        <v>12543.240234000001</v>
      </c>
      <c r="E1513" s="6">
        <v>12698.450194999999</v>
      </c>
      <c r="F1513" s="6">
        <v>12698.450194999999</v>
      </c>
      <c r="G1513" s="4">
        <v>6546740000</v>
      </c>
      <c r="H1513">
        <f t="shared" si="23"/>
        <v>-1.4838438328675894E-2</v>
      </c>
    </row>
    <row r="1514" spans="1:8" x14ac:dyDescent="0.3">
      <c r="A1514" s="5">
        <v>44201</v>
      </c>
      <c r="B1514" s="6">
        <v>12665.650390999999</v>
      </c>
      <c r="C1514" s="6">
        <v>12828.269531</v>
      </c>
      <c r="D1514" s="6">
        <v>12665.650390999999</v>
      </c>
      <c r="E1514" s="6">
        <v>12818.959961</v>
      </c>
      <c r="F1514" s="6">
        <v>12818.959961</v>
      </c>
      <c r="G1514" s="4">
        <v>6904420000</v>
      </c>
      <c r="H1514">
        <f t="shared" si="23"/>
        <v>9.4453677862723611E-3</v>
      </c>
    </row>
    <row r="1515" spans="1:8" x14ac:dyDescent="0.3">
      <c r="A1515" s="5">
        <v>44202</v>
      </c>
      <c r="B1515" s="6">
        <v>12666.150390999999</v>
      </c>
      <c r="C1515" s="6">
        <v>12909.629883</v>
      </c>
      <c r="D1515" s="6">
        <v>12649.990234000001</v>
      </c>
      <c r="E1515" s="6">
        <v>12740.790039</v>
      </c>
      <c r="F1515" s="6">
        <v>12740.790039</v>
      </c>
      <c r="G1515" s="4">
        <v>7648340000</v>
      </c>
      <c r="H1515">
        <f t="shared" si="23"/>
        <v>-6.1166612128576731E-3</v>
      </c>
    </row>
    <row r="1516" spans="1:8" x14ac:dyDescent="0.3">
      <c r="A1516" s="5">
        <v>44203</v>
      </c>
      <c r="B1516" s="6">
        <v>12867.339844</v>
      </c>
      <c r="C1516" s="6">
        <v>13090.910156</v>
      </c>
      <c r="D1516" s="6">
        <v>12867.339844</v>
      </c>
      <c r="E1516" s="6">
        <v>13067.480469</v>
      </c>
      <c r="F1516" s="6">
        <v>13067.480469</v>
      </c>
      <c r="G1516" s="4">
        <v>6777010000</v>
      </c>
      <c r="H1516">
        <f t="shared" si="23"/>
        <v>2.531807627805582E-2</v>
      </c>
    </row>
    <row r="1517" spans="1:8" x14ac:dyDescent="0.3">
      <c r="A1517" s="5">
        <v>44204</v>
      </c>
      <c r="B1517" s="6">
        <v>13160.219727</v>
      </c>
      <c r="C1517" s="6">
        <v>13208.089844</v>
      </c>
      <c r="D1517" s="6">
        <v>13036.549805000001</v>
      </c>
      <c r="E1517" s="6">
        <v>13201.980469</v>
      </c>
      <c r="F1517" s="6">
        <v>13201.980469</v>
      </c>
      <c r="G1517" s="4">
        <v>7223660000</v>
      </c>
      <c r="H1517">
        <f t="shared" si="23"/>
        <v>1.0240116888668223E-2</v>
      </c>
    </row>
    <row r="1518" spans="1:8" x14ac:dyDescent="0.3">
      <c r="A1518" s="5">
        <v>44207</v>
      </c>
      <c r="B1518" s="6">
        <v>13048.780273</v>
      </c>
      <c r="C1518" s="6">
        <v>13138.269531</v>
      </c>
      <c r="D1518" s="6">
        <v>12999.509765999999</v>
      </c>
      <c r="E1518" s="6">
        <v>13036.429688</v>
      </c>
      <c r="F1518" s="6">
        <v>13036.429688</v>
      </c>
      <c r="G1518" s="4">
        <v>6876420000</v>
      </c>
      <c r="H1518">
        <f t="shared" si="23"/>
        <v>-1.2619131791655398E-2</v>
      </c>
    </row>
    <row r="1519" spans="1:8" x14ac:dyDescent="0.3">
      <c r="A1519" s="5">
        <v>44208</v>
      </c>
      <c r="B1519" s="6">
        <v>13062.059569999999</v>
      </c>
      <c r="C1519" s="6">
        <v>13105.040039</v>
      </c>
      <c r="D1519" s="6">
        <v>12963.919921999999</v>
      </c>
      <c r="E1519" s="6">
        <v>13072.429688</v>
      </c>
      <c r="F1519" s="6">
        <v>13072.429688</v>
      </c>
      <c r="G1519" s="4">
        <v>7181380000</v>
      </c>
      <c r="H1519">
        <f t="shared" si="23"/>
        <v>2.7576863696766349E-3</v>
      </c>
    </row>
    <row r="1520" spans="1:8" x14ac:dyDescent="0.3">
      <c r="A1520" s="5">
        <v>44209</v>
      </c>
      <c r="B1520" s="6">
        <v>13088.009765999999</v>
      </c>
      <c r="C1520" s="6">
        <v>13171.150390999999</v>
      </c>
      <c r="D1520" s="6">
        <v>13051.059569999999</v>
      </c>
      <c r="E1520" s="6">
        <v>13128.950194999999</v>
      </c>
      <c r="F1520" s="6">
        <v>13128.950194999999</v>
      </c>
      <c r="G1520" s="4">
        <v>7072920000</v>
      </c>
      <c r="H1520">
        <f t="shared" si="23"/>
        <v>4.3143219877838368E-3</v>
      </c>
    </row>
    <row r="1521" spans="1:8" x14ac:dyDescent="0.3">
      <c r="A1521" s="5">
        <v>44210</v>
      </c>
      <c r="B1521" s="6">
        <v>13174.75</v>
      </c>
      <c r="C1521" s="6">
        <v>13220.160156</v>
      </c>
      <c r="D1521" s="6">
        <v>13098.410156</v>
      </c>
      <c r="E1521" s="6">
        <v>13112.639648</v>
      </c>
      <c r="F1521" s="6">
        <v>13112.639648</v>
      </c>
      <c r="G1521" s="4">
        <v>6671090000</v>
      </c>
      <c r="H1521">
        <f t="shared" si="23"/>
        <v>-1.243106778056766E-3</v>
      </c>
    </row>
    <row r="1522" spans="1:8" x14ac:dyDescent="0.3">
      <c r="A1522" s="5">
        <v>44211</v>
      </c>
      <c r="B1522" s="6">
        <v>13099.900390999999</v>
      </c>
      <c r="C1522" s="6">
        <v>13139.830078000001</v>
      </c>
      <c r="D1522" s="6">
        <v>12949.759765999999</v>
      </c>
      <c r="E1522" s="6">
        <v>12998.5</v>
      </c>
      <c r="F1522" s="6">
        <v>12998.5</v>
      </c>
      <c r="G1522" s="4">
        <v>6402970000</v>
      </c>
      <c r="H1522">
        <f t="shared" si="23"/>
        <v>-8.742657467336672E-3</v>
      </c>
    </row>
    <row r="1523" spans="1:8" x14ac:dyDescent="0.3">
      <c r="A1523" s="5">
        <v>44215</v>
      </c>
      <c r="B1523" s="6">
        <v>13132.730469</v>
      </c>
      <c r="C1523" s="6">
        <v>13206.860352</v>
      </c>
      <c r="D1523" s="6">
        <v>13078.700194999999</v>
      </c>
      <c r="E1523" s="6">
        <v>13197.179688</v>
      </c>
      <c r="F1523" s="6">
        <v>13197.179688</v>
      </c>
      <c r="G1523" s="4">
        <v>6229100000</v>
      </c>
      <c r="H1523">
        <f t="shared" si="23"/>
        <v>1.516918057494032E-2</v>
      </c>
    </row>
    <row r="1524" spans="1:8" x14ac:dyDescent="0.3">
      <c r="A1524" s="5">
        <v>44216</v>
      </c>
      <c r="B1524" s="6">
        <v>13342.549805000001</v>
      </c>
      <c r="C1524" s="6">
        <v>13486.129883</v>
      </c>
      <c r="D1524" s="6">
        <v>13329.769531</v>
      </c>
      <c r="E1524" s="6">
        <v>13457.25</v>
      </c>
      <c r="F1524" s="6">
        <v>13457.25</v>
      </c>
      <c r="G1524" s="4">
        <v>6771630000</v>
      </c>
      <c r="H1524">
        <f t="shared" si="23"/>
        <v>1.9514847514973181E-2</v>
      </c>
    </row>
    <row r="1525" spans="1:8" x14ac:dyDescent="0.3">
      <c r="A1525" s="5">
        <v>44217</v>
      </c>
      <c r="B1525" s="6">
        <v>13521.480469</v>
      </c>
      <c r="C1525" s="6">
        <v>13560.349609000001</v>
      </c>
      <c r="D1525" s="6">
        <v>13454.070313</v>
      </c>
      <c r="E1525" s="6">
        <v>13530.910156</v>
      </c>
      <c r="F1525" s="6">
        <v>13530.910156</v>
      </c>
      <c r="G1525" s="4">
        <v>7183390000</v>
      </c>
      <c r="H1525">
        <f t="shared" si="23"/>
        <v>5.4587151166984611E-3</v>
      </c>
    </row>
    <row r="1526" spans="1:8" x14ac:dyDescent="0.3">
      <c r="A1526" s="5">
        <v>44218</v>
      </c>
      <c r="B1526" s="6">
        <v>13474.809569999999</v>
      </c>
      <c r="C1526" s="6">
        <v>13567.139648</v>
      </c>
      <c r="D1526" s="6">
        <v>13463.660156</v>
      </c>
      <c r="E1526" s="6">
        <v>13543.059569999999</v>
      </c>
      <c r="F1526" s="6">
        <v>13543.059569999999</v>
      </c>
      <c r="G1526" s="4">
        <v>5931240000</v>
      </c>
      <c r="H1526">
        <f t="shared" si="23"/>
        <v>8.9749785040681206E-4</v>
      </c>
    </row>
    <row r="1527" spans="1:8" x14ac:dyDescent="0.3">
      <c r="A1527" s="5">
        <v>44221</v>
      </c>
      <c r="B1527" s="6">
        <v>13681.209961</v>
      </c>
      <c r="C1527" s="6">
        <v>13728.980469</v>
      </c>
      <c r="D1527" s="6">
        <v>13368.679688</v>
      </c>
      <c r="E1527" s="6">
        <v>13635.990234000001</v>
      </c>
      <c r="F1527" s="6">
        <v>13635.990234000001</v>
      </c>
      <c r="G1527" s="4">
        <v>7139410000</v>
      </c>
      <c r="H1527">
        <f t="shared" si="23"/>
        <v>6.8384308371146063E-3</v>
      </c>
    </row>
    <row r="1528" spans="1:8" x14ac:dyDescent="0.3">
      <c r="A1528" s="5">
        <v>44222</v>
      </c>
      <c r="B1528" s="6">
        <v>13681.719727</v>
      </c>
      <c r="C1528" s="6">
        <v>13702.690430000001</v>
      </c>
      <c r="D1528" s="6">
        <v>13603.190430000001</v>
      </c>
      <c r="E1528" s="6">
        <v>13626.059569999999</v>
      </c>
      <c r="F1528" s="6">
        <v>13626.059569999999</v>
      </c>
      <c r="G1528" s="4">
        <v>6781460000</v>
      </c>
      <c r="H1528">
        <f t="shared" si="23"/>
        <v>-7.285339518218818E-4</v>
      </c>
    </row>
    <row r="1529" spans="1:8" x14ac:dyDescent="0.3">
      <c r="A1529" s="5">
        <v>44223</v>
      </c>
      <c r="B1529" s="6">
        <v>13486.580078000001</v>
      </c>
      <c r="C1529" s="6">
        <v>13538.419921999999</v>
      </c>
      <c r="D1529" s="6">
        <v>13192.910156</v>
      </c>
      <c r="E1529" s="6">
        <v>13270.599609000001</v>
      </c>
      <c r="F1529" s="6">
        <v>13270.599609000001</v>
      </c>
      <c r="G1529" s="4">
        <v>11102160000</v>
      </c>
      <c r="H1529">
        <f t="shared" si="23"/>
        <v>-2.6433071502655909E-2</v>
      </c>
    </row>
    <row r="1530" spans="1:8" x14ac:dyDescent="0.3">
      <c r="A1530" s="5">
        <v>44224</v>
      </c>
      <c r="B1530" s="6">
        <v>13323.290039</v>
      </c>
      <c r="C1530" s="6">
        <v>13507.639648</v>
      </c>
      <c r="D1530" s="6">
        <v>13316.519531</v>
      </c>
      <c r="E1530" s="6">
        <v>13337.160156</v>
      </c>
      <c r="F1530" s="6">
        <v>13337.160156</v>
      </c>
      <c r="G1530" s="4">
        <v>9823150000</v>
      </c>
      <c r="H1530">
        <f t="shared" si="23"/>
        <v>5.0031033373570183E-3</v>
      </c>
    </row>
    <row r="1531" spans="1:8" x14ac:dyDescent="0.3">
      <c r="A1531" s="5">
        <v>44225</v>
      </c>
      <c r="B1531" s="6">
        <v>13284.719727</v>
      </c>
      <c r="C1531" s="6">
        <v>13322</v>
      </c>
      <c r="D1531" s="6">
        <v>12985.049805000001</v>
      </c>
      <c r="E1531" s="6">
        <v>13070.690430000001</v>
      </c>
      <c r="F1531" s="6">
        <v>13070.690430000001</v>
      </c>
      <c r="G1531" s="4">
        <v>7809670000</v>
      </c>
      <c r="H1531">
        <f t="shared" si="23"/>
        <v>-2.0181784170232295E-2</v>
      </c>
    </row>
    <row r="1532" spans="1:8" x14ac:dyDescent="0.3">
      <c r="A1532" s="5">
        <v>44228</v>
      </c>
      <c r="B1532" s="6">
        <v>13226.179688</v>
      </c>
      <c r="C1532" s="6">
        <v>13431.459961</v>
      </c>
      <c r="D1532" s="6">
        <v>13132.469727</v>
      </c>
      <c r="E1532" s="6">
        <v>13403.389648</v>
      </c>
      <c r="F1532" s="6">
        <v>13403.389648</v>
      </c>
      <c r="G1532" s="4">
        <v>7014220000</v>
      </c>
      <c r="H1532">
        <f t="shared" si="23"/>
        <v>2.513528197853588E-2</v>
      </c>
    </row>
    <row r="1533" spans="1:8" x14ac:dyDescent="0.3">
      <c r="A1533" s="5">
        <v>44229</v>
      </c>
      <c r="B1533" s="6">
        <v>13543.099609000001</v>
      </c>
      <c r="C1533" s="6">
        <v>13652.700194999999</v>
      </c>
      <c r="D1533" s="6">
        <v>13535.860352</v>
      </c>
      <c r="E1533" s="6">
        <v>13612.780273</v>
      </c>
      <c r="F1533" s="6">
        <v>13612.780273</v>
      </c>
      <c r="G1533" s="4">
        <v>7240220000</v>
      </c>
      <c r="H1533">
        <f t="shared" si="23"/>
        <v>1.5501443657725458E-2</v>
      </c>
    </row>
    <row r="1534" spans="1:8" x14ac:dyDescent="0.3">
      <c r="A1534" s="5">
        <v>44230</v>
      </c>
      <c r="B1534" s="6">
        <v>13718.309569999999</v>
      </c>
      <c r="C1534" s="6">
        <v>13723.830078000001</v>
      </c>
      <c r="D1534" s="6">
        <v>13585.339844</v>
      </c>
      <c r="E1534" s="6">
        <v>13610.540039</v>
      </c>
      <c r="F1534" s="6">
        <v>13610.540039</v>
      </c>
      <c r="G1534" s="4">
        <v>7465240000</v>
      </c>
      <c r="H1534">
        <f t="shared" si="23"/>
        <v>-1.6458198187309752E-4</v>
      </c>
    </row>
    <row r="1535" spans="1:8" x14ac:dyDescent="0.3">
      <c r="A1535" s="5">
        <v>44231</v>
      </c>
      <c r="B1535" s="6">
        <v>13674.059569999999</v>
      </c>
      <c r="C1535" s="6">
        <v>13778.419921999999</v>
      </c>
      <c r="D1535" s="6">
        <v>13631.620117</v>
      </c>
      <c r="E1535" s="6">
        <v>13777.740234000001</v>
      </c>
      <c r="F1535" s="6">
        <v>13777.740234000001</v>
      </c>
      <c r="G1535" s="4">
        <v>7218680000</v>
      </c>
      <c r="H1535">
        <f t="shared" si="23"/>
        <v>1.2209767863487885E-2</v>
      </c>
    </row>
    <row r="1536" spans="1:8" x14ac:dyDescent="0.3">
      <c r="A1536" s="5">
        <v>44232</v>
      </c>
      <c r="B1536" s="6">
        <v>13824.879883</v>
      </c>
      <c r="C1536" s="6">
        <v>13878.160156</v>
      </c>
      <c r="D1536" s="6">
        <v>13761.660156</v>
      </c>
      <c r="E1536" s="6">
        <v>13856.299805000001</v>
      </c>
      <c r="F1536" s="6">
        <v>13856.299805000001</v>
      </c>
      <c r="G1536" s="4">
        <v>6697720000</v>
      </c>
      <c r="H1536">
        <f t="shared" si="23"/>
        <v>5.685725469388777E-3</v>
      </c>
    </row>
    <row r="1537" spans="1:8" x14ac:dyDescent="0.3">
      <c r="A1537" s="5">
        <v>44235</v>
      </c>
      <c r="B1537" s="6">
        <v>13937.059569999999</v>
      </c>
      <c r="C1537" s="6">
        <v>13987.740234000001</v>
      </c>
      <c r="D1537" s="6">
        <v>13894.150390999999</v>
      </c>
      <c r="E1537" s="6">
        <v>13987.639648</v>
      </c>
      <c r="F1537" s="6">
        <v>13987.639648</v>
      </c>
      <c r="G1537" s="4">
        <v>8439940000</v>
      </c>
      <c r="H1537">
        <f t="shared" si="23"/>
        <v>9.4340685765495012E-3</v>
      </c>
    </row>
    <row r="1538" spans="1:8" x14ac:dyDescent="0.3">
      <c r="A1538" s="5">
        <v>44236</v>
      </c>
      <c r="B1538" s="6">
        <v>13966.820313</v>
      </c>
      <c r="C1538" s="6">
        <v>14044.950194999999</v>
      </c>
      <c r="D1538" s="6">
        <v>13966.549805000001</v>
      </c>
      <c r="E1538" s="6">
        <v>14007.700194999999</v>
      </c>
      <c r="F1538" s="6">
        <v>14007.700194999999</v>
      </c>
      <c r="G1538" s="4">
        <v>8658980000</v>
      </c>
      <c r="H1538">
        <f t="shared" si="23"/>
        <v>1.4331349821785125E-3</v>
      </c>
    </row>
    <row r="1539" spans="1:8" x14ac:dyDescent="0.3">
      <c r="A1539" s="5">
        <v>44237</v>
      </c>
      <c r="B1539" s="6">
        <v>14093.349609000001</v>
      </c>
      <c r="C1539" s="6">
        <v>14109.120117</v>
      </c>
      <c r="D1539" s="6">
        <v>13845.469727</v>
      </c>
      <c r="E1539" s="6">
        <v>13972.530273</v>
      </c>
      <c r="F1539" s="6">
        <v>13972.530273</v>
      </c>
      <c r="G1539" s="4">
        <v>10165550000</v>
      </c>
      <c r="H1539">
        <f t="shared" si="23"/>
        <v>-2.5139135692499653E-3</v>
      </c>
    </row>
    <row r="1540" spans="1:8" x14ac:dyDescent="0.3">
      <c r="A1540" s="5">
        <v>44238</v>
      </c>
      <c r="B1540" s="6">
        <v>14045.209961</v>
      </c>
      <c r="C1540" s="6">
        <v>14058.910156</v>
      </c>
      <c r="D1540" s="6">
        <v>13916.849609000001</v>
      </c>
      <c r="E1540" s="6">
        <v>14025.769531</v>
      </c>
      <c r="F1540" s="6">
        <v>14025.769531</v>
      </c>
      <c r="G1540" s="4">
        <v>10000200000</v>
      </c>
      <c r="H1540">
        <f t="shared" ref="H1540:H1579" si="24">LN(E1540/E1539)</f>
        <v>3.8030396516779749E-3</v>
      </c>
    </row>
    <row r="1541" spans="1:8" x14ac:dyDescent="0.3">
      <c r="A1541" s="5">
        <v>44239</v>
      </c>
      <c r="B1541" s="6">
        <v>13979.209961</v>
      </c>
      <c r="C1541" s="6">
        <v>14102.040039</v>
      </c>
      <c r="D1541" s="6">
        <v>13937.709961</v>
      </c>
      <c r="E1541" s="6">
        <v>14095.469727</v>
      </c>
      <c r="F1541" s="6">
        <v>14095.469727</v>
      </c>
      <c r="G1541" s="4">
        <v>7352960000</v>
      </c>
      <c r="H1541">
        <f t="shared" si="24"/>
        <v>4.9571313760342376E-3</v>
      </c>
    </row>
    <row r="1542" spans="1:8" x14ac:dyDescent="0.3">
      <c r="A1542" s="5">
        <v>44243</v>
      </c>
      <c r="B1542" s="6">
        <v>14152.209961</v>
      </c>
      <c r="C1542" s="6">
        <v>14175.120117</v>
      </c>
      <c r="D1542" s="6">
        <v>13995.450194999999</v>
      </c>
      <c r="E1542" s="6">
        <v>14047.5</v>
      </c>
      <c r="F1542" s="6">
        <v>14047.5</v>
      </c>
      <c r="G1542" s="4">
        <v>7646300000</v>
      </c>
      <c r="H1542">
        <f t="shared" si="24"/>
        <v>-3.4090057958548656E-3</v>
      </c>
    </row>
    <row r="1543" spans="1:8" x14ac:dyDescent="0.3">
      <c r="A1543" s="5">
        <v>44244</v>
      </c>
      <c r="B1543" s="6">
        <v>13911.650390999999</v>
      </c>
      <c r="C1543" s="6">
        <v>13976.429688</v>
      </c>
      <c r="D1543" s="6">
        <v>13804.259765999999</v>
      </c>
      <c r="E1543" s="6">
        <v>13965.490234000001</v>
      </c>
      <c r="F1543" s="6">
        <v>13965.490234000001</v>
      </c>
      <c r="G1543" s="4">
        <v>7227140000</v>
      </c>
      <c r="H1543">
        <f t="shared" si="24"/>
        <v>-5.8551407477493156E-3</v>
      </c>
    </row>
    <row r="1544" spans="1:8" x14ac:dyDescent="0.3">
      <c r="A1544" s="5">
        <v>44245</v>
      </c>
      <c r="B1544" s="6">
        <v>13814.669921999999</v>
      </c>
      <c r="C1544" s="6">
        <v>13905.959961</v>
      </c>
      <c r="D1544" s="6">
        <v>13714.349609000001</v>
      </c>
      <c r="E1544" s="6">
        <v>13865.360352</v>
      </c>
      <c r="F1544" s="6">
        <v>13865.360352</v>
      </c>
      <c r="G1544" s="4">
        <v>6454280000</v>
      </c>
      <c r="H1544">
        <f t="shared" si="24"/>
        <v>-7.1956344795802594E-3</v>
      </c>
    </row>
    <row r="1545" spans="1:8" x14ac:dyDescent="0.3">
      <c r="A1545" s="5">
        <v>44246</v>
      </c>
      <c r="B1545" s="6">
        <v>13929.200194999999</v>
      </c>
      <c r="C1545" s="6">
        <v>13985.580078000001</v>
      </c>
      <c r="D1545" s="6">
        <v>13842.599609000001</v>
      </c>
      <c r="E1545" s="6">
        <v>13874.459961</v>
      </c>
      <c r="F1545" s="6">
        <v>13874.459961</v>
      </c>
      <c r="G1545" s="4">
        <v>6686060000</v>
      </c>
      <c r="H1545">
        <f t="shared" si="24"/>
        <v>6.560683684118454E-4</v>
      </c>
    </row>
    <row r="1546" spans="1:8" x14ac:dyDescent="0.3">
      <c r="A1546" s="5">
        <v>44249</v>
      </c>
      <c r="B1546" s="6">
        <v>13714.200194999999</v>
      </c>
      <c r="C1546" s="6">
        <v>13757.059569999999</v>
      </c>
      <c r="D1546" s="6">
        <v>13530.959961</v>
      </c>
      <c r="E1546" s="6">
        <v>13533.049805000001</v>
      </c>
      <c r="F1546" s="6">
        <v>13533.049805000001</v>
      </c>
      <c r="G1546" s="4">
        <v>6435100000</v>
      </c>
      <c r="H1546">
        <f t="shared" si="24"/>
        <v>-2.4914909794641237E-2</v>
      </c>
    </row>
    <row r="1547" spans="1:8" x14ac:dyDescent="0.3">
      <c r="A1547" s="5">
        <v>44250</v>
      </c>
      <c r="B1547" s="6">
        <v>13262.610352</v>
      </c>
      <c r="C1547" s="6">
        <v>13526.089844</v>
      </c>
      <c r="D1547" s="6">
        <v>13003.980469</v>
      </c>
      <c r="E1547" s="6">
        <v>13465.200194999999</v>
      </c>
      <c r="F1547" s="6">
        <v>13465.200194999999</v>
      </c>
      <c r="G1547" s="4">
        <v>7482840000</v>
      </c>
      <c r="H1547">
        <f t="shared" si="24"/>
        <v>-5.0262333921981548E-3</v>
      </c>
    </row>
    <row r="1548" spans="1:8" x14ac:dyDescent="0.3">
      <c r="A1548" s="5">
        <v>44251</v>
      </c>
      <c r="B1548" s="6">
        <v>13400.25</v>
      </c>
      <c r="C1548" s="6">
        <v>13607.360352</v>
      </c>
      <c r="D1548" s="6">
        <v>13286.589844</v>
      </c>
      <c r="E1548" s="6">
        <v>13597.969727</v>
      </c>
      <c r="F1548" s="6">
        <v>13597.969727</v>
      </c>
      <c r="G1548" s="4">
        <v>5793430000</v>
      </c>
      <c r="H1548">
        <f t="shared" si="24"/>
        <v>9.8119028600537599E-3</v>
      </c>
    </row>
    <row r="1549" spans="1:8" x14ac:dyDescent="0.3">
      <c r="A1549" s="5">
        <v>44252</v>
      </c>
      <c r="B1549" s="6">
        <v>13512.639648</v>
      </c>
      <c r="C1549" s="6">
        <v>13602.860352</v>
      </c>
      <c r="D1549" s="6">
        <v>13066.379883</v>
      </c>
      <c r="E1549" s="6">
        <v>13119.429688</v>
      </c>
      <c r="F1549" s="6">
        <v>13119.429688</v>
      </c>
      <c r="G1549" s="4">
        <v>6335240000</v>
      </c>
      <c r="H1549">
        <f t="shared" si="24"/>
        <v>-3.5826183149808837E-2</v>
      </c>
    </row>
    <row r="1550" spans="1:8" x14ac:dyDescent="0.3">
      <c r="A1550" s="5">
        <v>44253</v>
      </c>
      <c r="B1550" s="6">
        <v>13232.900390999999</v>
      </c>
      <c r="C1550" s="6">
        <v>13368.059569999999</v>
      </c>
      <c r="D1550" s="6">
        <v>13024.530273</v>
      </c>
      <c r="E1550" s="6">
        <v>13192.349609000001</v>
      </c>
      <c r="F1550" s="6">
        <v>13192.349609000001</v>
      </c>
      <c r="G1550" s="4">
        <v>5883880000</v>
      </c>
      <c r="H1550">
        <f t="shared" si="24"/>
        <v>5.5427728293068442E-3</v>
      </c>
    </row>
    <row r="1551" spans="1:8" x14ac:dyDescent="0.3">
      <c r="A1551" s="5">
        <v>44256</v>
      </c>
      <c r="B1551" s="6">
        <v>13406.160156</v>
      </c>
      <c r="C1551" s="6">
        <v>13596.589844</v>
      </c>
      <c r="D1551" s="6">
        <v>13362.660156</v>
      </c>
      <c r="E1551" s="6">
        <v>13588.830078000001</v>
      </c>
      <c r="F1551" s="6">
        <v>13588.830078000001</v>
      </c>
      <c r="G1551" s="4">
        <v>5047710000</v>
      </c>
      <c r="H1551">
        <f t="shared" si="24"/>
        <v>2.9611050983627839E-2</v>
      </c>
    </row>
    <row r="1552" spans="1:8" x14ac:dyDescent="0.3">
      <c r="A1552" s="5">
        <v>44257</v>
      </c>
      <c r="B1552" s="6">
        <v>13599.450194999999</v>
      </c>
      <c r="C1552" s="6">
        <v>13601.330078000001</v>
      </c>
      <c r="D1552" s="6">
        <v>13352</v>
      </c>
      <c r="E1552" s="6">
        <v>13358.790039</v>
      </c>
      <c r="F1552" s="6">
        <v>13358.790039</v>
      </c>
      <c r="G1552" s="4">
        <v>4920320000</v>
      </c>
      <c r="H1552">
        <f t="shared" si="24"/>
        <v>-1.707353941759544E-2</v>
      </c>
    </row>
    <row r="1553" spans="1:8" x14ac:dyDescent="0.3">
      <c r="A1553" s="5">
        <v>44258</v>
      </c>
      <c r="B1553" s="6">
        <v>13336.25</v>
      </c>
      <c r="C1553" s="6">
        <v>13372.519531</v>
      </c>
      <c r="D1553" s="6">
        <v>12995.070313</v>
      </c>
      <c r="E1553" s="6">
        <v>12997.75</v>
      </c>
      <c r="F1553" s="6">
        <v>12997.75</v>
      </c>
      <c r="G1553" s="4">
        <v>5493960000</v>
      </c>
      <c r="H1553">
        <f t="shared" si="24"/>
        <v>-2.7398332505122431E-2</v>
      </c>
    </row>
    <row r="1554" spans="1:8" x14ac:dyDescent="0.3">
      <c r="A1554" s="5">
        <v>44259</v>
      </c>
      <c r="B1554" s="6">
        <v>12953.990234000001</v>
      </c>
      <c r="C1554" s="6">
        <v>13068.709961</v>
      </c>
      <c r="D1554" s="6">
        <v>12553.959961</v>
      </c>
      <c r="E1554" s="6">
        <v>12723.469727</v>
      </c>
      <c r="F1554" s="6">
        <v>12723.469727</v>
      </c>
      <c r="G1554" s="4">
        <v>7799710000</v>
      </c>
      <c r="H1554">
        <f t="shared" si="24"/>
        <v>-2.1327967564028539E-2</v>
      </c>
    </row>
    <row r="1555" spans="1:8" x14ac:dyDescent="0.3">
      <c r="A1555" s="5">
        <v>44260</v>
      </c>
      <c r="B1555" s="6">
        <v>12860.040039</v>
      </c>
      <c r="C1555" s="6">
        <v>12941.209961</v>
      </c>
      <c r="D1555" s="6">
        <v>12397.049805000001</v>
      </c>
      <c r="E1555" s="6">
        <v>12920.150390999999</v>
      </c>
      <c r="F1555" s="6">
        <v>12920.150390999999</v>
      </c>
      <c r="G1555" s="4">
        <v>7696900000</v>
      </c>
      <c r="H1555">
        <f t="shared" si="24"/>
        <v>1.5339840462095918E-2</v>
      </c>
    </row>
    <row r="1556" spans="1:8" x14ac:dyDescent="0.3">
      <c r="A1556" s="5">
        <v>44263</v>
      </c>
      <c r="B1556" s="6">
        <v>12904.259765999999</v>
      </c>
      <c r="C1556" s="6">
        <v>13001</v>
      </c>
      <c r="D1556" s="6">
        <v>12599.230469</v>
      </c>
      <c r="E1556" s="6">
        <v>12609.160156</v>
      </c>
      <c r="F1556" s="6">
        <v>12609.160156</v>
      </c>
      <c r="G1556" s="4">
        <v>5971260000</v>
      </c>
      <c r="H1556">
        <f t="shared" si="24"/>
        <v>-2.4364592125572074E-2</v>
      </c>
    </row>
    <row r="1557" spans="1:8" x14ac:dyDescent="0.3">
      <c r="A1557" s="5">
        <v>44264</v>
      </c>
      <c r="B1557" s="6">
        <v>12923.070313</v>
      </c>
      <c r="C1557" s="6">
        <v>13151.540039</v>
      </c>
      <c r="D1557" s="6">
        <v>12882.490234000001</v>
      </c>
      <c r="E1557" s="6">
        <v>13073.820313</v>
      </c>
      <c r="F1557" s="6">
        <v>13073.820313</v>
      </c>
      <c r="G1557" s="4">
        <v>6294910000</v>
      </c>
      <c r="H1557">
        <f t="shared" si="24"/>
        <v>3.6188234921932905E-2</v>
      </c>
    </row>
    <row r="1558" spans="1:8" x14ac:dyDescent="0.3">
      <c r="A1558" s="5">
        <v>44265</v>
      </c>
      <c r="B1558" s="6">
        <v>13234.730469</v>
      </c>
      <c r="C1558" s="6">
        <v>13277.110352</v>
      </c>
      <c r="D1558" s="6">
        <v>13035.440430000001</v>
      </c>
      <c r="E1558" s="6">
        <v>13068.830078000001</v>
      </c>
      <c r="F1558" s="6">
        <v>13068.830078000001</v>
      </c>
      <c r="G1558" s="4">
        <v>5991730000</v>
      </c>
      <c r="H1558">
        <f t="shared" si="24"/>
        <v>-3.8176963589938156E-4</v>
      </c>
    </row>
    <row r="1559" spans="1:8" x14ac:dyDescent="0.3">
      <c r="A1559" s="5">
        <v>44266</v>
      </c>
      <c r="B1559" s="6">
        <v>13273.309569999999</v>
      </c>
      <c r="C1559" s="6">
        <v>13433.620117</v>
      </c>
      <c r="D1559" s="6">
        <v>13246.330078000001</v>
      </c>
      <c r="E1559" s="6">
        <v>13398.669921999999</v>
      </c>
      <c r="F1559" s="6">
        <v>13398.669921999999</v>
      </c>
      <c r="G1559" s="4">
        <v>5956260000</v>
      </c>
      <c r="H1559">
        <f t="shared" si="24"/>
        <v>2.4925430860621819E-2</v>
      </c>
    </row>
    <row r="1560" spans="1:8" x14ac:dyDescent="0.3">
      <c r="A1560" s="5">
        <v>44267</v>
      </c>
      <c r="B1560" s="6">
        <v>13222.809569999999</v>
      </c>
      <c r="C1560" s="6">
        <v>13324.690430000001</v>
      </c>
      <c r="D1560" s="6">
        <v>13158.719727</v>
      </c>
      <c r="E1560" s="6">
        <v>13319.860352</v>
      </c>
      <c r="F1560" s="6">
        <v>13319.860352</v>
      </c>
      <c r="G1560" s="4">
        <v>5472340000</v>
      </c>
      <c r="H1560">
        <f t="shared" si="24"/>
        <v>-5.8992615048708537E-3</v>
      </c>
    </row>
    <row r="1561" spans="1:8" x14ac:dyDescent="0.3">
      <c r="A1561" s="5">
        <v>44270</v>
      </c>
      <c r="B1561" s="6">
        <v>13323.469727</v>
      </c>
      <c r="C1561" s="6">
        <v>13460.349609000001</v>
      </c>
      <c r="D1561" s="6">
        <v>13272.5</v>
      </c>
      <c r="E1561" s="6">
        <v>13459.709961</v>
      </c>
      <c r="F1561" s="6">
        <v>13459.709961</v>
      </c>
      <c r="G1561" s="4">
        <v>5933440000</v>
      </c>
      <c r="H1561">
        <f t="shared" si="24"/>
        <v>1.0444594794275971E-2</v>
      </c>
    </row>
    <row r="1562" spans="1:8" x14ac:dyDescent="0.3">
      <c r="A1562" s="5">
        <v>44271</v>
      </c>
      <c r="B1562" s="6">
        <v>13523.169921999999</v>
      </c>
      <c r="C1562" s="6">
        <v>13620.709961</v>
      </c>
      <c r="D1562" s="6">
        <v>13397.080078000001</v>
      </c>
      <c r="E1562" s="6">
        <v>13471.570313</v>
      </c>
      <c r="F1562" s="6">
        <v>13471.570313</v>
      </c>
      <c r="G1562" s="4">
        <v>5463770000</v>
      </c>
      <c r="H1562">
        <f t="shared" si="24"/>
        <v>8.8078640496017211E-4</v>
      </c>
    </row>
    <row r="1563" spans="1:8" x14ac:dyDescent="0.3">
      <c r="A1563" s="5">
        <v>44272</v>
      </c>
      <c r="B1563" s="6">
        <v>13336.910156</v>
      </c>
      <c r="C1563" s="6">
        <v>13595</v>
      </c>
      <c r="D1563" s="6">
        <v>13272.690430000001</v>
      </c>
      <c r="E1563" s="6">
        <v>13525.200194999999</v>
      </c>
      <c r="F1563" s="6">
        <v>13525.200194999999</v>
      </c>
      <c r="G1563" s="4">
        <v>5465500000</v>
      </c>
      <c r="H1563">
        <f t="shared" si="24"/>
        <v>3.9730642989910785E-3</v>
      </c>
    </row>
    <row r="1564" spans="1:8" x14ac:dyDescent="0.3">
      <c r="A1564" s="5">
        <v>44273</v>
      </c>
      <c r="B1564" s="6">
        <v>13349.200194999999</v>
      </c>
      <c r="C1564" s="6">
        <v>13384.459961</v>
      </c>
      <c r="D1564" s="6">
        <v>13101.919921999999</v>
      </c>
      <c r="E1564" s="6">
        <v>13116.169921999999</v>
      </c>
      <c r="F1564" s="6">
        <v>13116.169921999999</v>
      </c>
      <c r="G1564" s="4">
        <v>5699900000</v>
      </c>
      <c r="H1564">
        <f t="shared" si="24"/>
        <v>-3.0708812251200975E-2</v>
      </c>
    </row>
    <row r="1565" spans="1:8" x14ac:dyDescent="0.3">
      <c r="A1565" s="5">
        <v>44274</v>
      </c>
      <c r="B1565" s="6">
        <v>13119.900390999999</v>
      </c>
      <c r="C1565" s="6">
        <v>13252.370117</v>
      </c>
      <c r="D1565" s="6">
        <v>13039.450194999999</v>
      </c>
      <c r="E1565" s="6">
        <v>13215.240234000001</v>
      </c>
      <c r="F1565" s="6">
        <v>13215.240234000001</v>
      </c>
      <c r="G1565" s="4">
        <v>7591530000</v>
      </c>
      <c r="H1565">
        <f t="shared" si="24"/>
        <v>7.5249125584196091E-3</v>
      </c>
    </row>
    <row r="1566" spans="1:8" x14ac:dyDescent="0.3">
      <c r="A1566" s="5">
        <v>44277</v>
      </c>
      <c r="B1566" s="6">
        <v>13278.780273</v>
      </c>
      <c r="C1566" s="6">
        <v>13455.639648</v>
      </c>
      <c r="D1566" s="6">
        <v>13278.780273</v>
      </c>
      <c r="E1566" s="6">
        <v>13377.540039</v>
      </c>
      <c r="F1566" s="6">
        <v>13377.540039</v>
      </c>
      <c r="G1566" s="4">
        <v>5302770000</v>
      </c>
      <c r="H1566">
        <f t="shared" si="24"/>
        <v>1.2206457430849407E-2</v>
      </c>
    </row>
    <row r="1567" spans="1:8" x14ac:dyDescent="0.3">
      <c r="A1567" s="5">
        <v>44278</v>
      </c>
      <c r="B1567" s="6">
        <v>13381.429688</v>
      </c>
      <c r="C1567" s="6">
        <v>13405.150390999999</v>
      </c>
      <c r="D1567" s="6">
        <v>13202.429688</v>
      </c>
      <c r="E1567" s="6">
        <v>13227.700194999999</v>
      </c>
      <c r="F1567" s="6">
        <v>13227.700194999999</v>
      </c>
      <c r="G1567" s="4">
        <v>5607860000</v>
      </c>
      <c r="H1567">
        <f t="shared" si="24"/>
        <v>-1.1264053770740553E-2</v>
      </c>
    </row>
    <row r="1568" spans="1:8" x14ac:dyDescent="0.3">
      <c r="A1568" s="5">
        <v>44279</v>
      </c>
      <c r="B1568" s="6">
        <v>13289.240234000001</v>
      </c>
      <c r="C1568" s="6">
        <v>13292.919921999999</v>
      </c>
      <c r="D1568" s="6">
        <v>12961.349609000001</v>
      </c>
      <c r="E1568" s="6">
        <v>12961.889648</v>
      </c>
      <c r="F1568" s="6">
        <v>12961.889648</v>
      </c>
      <c r="G1568" s="4">
        <v>6184470000</v>
      </c>
      <c r="H1568">
        <f t="shared" si="24"/>
        <v>-2.0299643970473857E-2</v>
      </c>
    </row>
    <row r="1569" spans="1:8" x14ac:dyDescent="0.3">
      <c r="A1569" s="5">
        <v>44280</v>
      </c>
      <c r="B1569" s="6">
        <v>12844.580078000001</v>
      </c>
      <c r="C1569" s="6">
        <v>13021.860352</v>
      </c>
      <c r="D1569" s="6">
        <v>12786.809569999999</v>
      </c>
      <c r="E1569" s="6">
        <v>12977.679688</v>
      </c>
      <c r="F1569" s="6">
        <v>12977.679688</v>
      </c>
      <c r="G1569" s="4">
        <v>5608640000</v>
      </c>
      <c r="H1569">
        <f t="shared" si="24"/>
        <v>1.2174482733908654E-3</v>
      </c>
    </row>
    <row r="1570" spans="1:8" x14ac:dyDescent="0.3">
      <c r="A1570" s="5">
        <v>44281</v>
      </c>
      <c r="B1570" s="6">
        <v>12996.030273</v>
      </c>
      <c r="C1570" s="6">
        <v>13149.549805000001</v>
      </c>
      <c r="D1570" s="6">
        <v>12878.719727</v>
      </c>
      <c r="E1570" s="6">
        <v>13138.730469</v>
      </c>
      <c r="F1570" s="6">
        <v>13138.730469</v>
      </c>
      <c r="G1570" s="4">
        <v>5195330000</v>
      </c>
      <c r="H1570">
        <f t="shared" si="24"/>
        <v>1.2333457893765091E-2</v>
      </c>
    </row>
    <row r="1571" spans="1:8" x14ac:dyDescent="0.3">
      <c r="A1571" s="5">
        <v>44284</v>
      </c>
      <c r="B1571" s="6">
        <v>13103.969727</v>
      </c>
      <c r="C1571" s="6">
        <v>13143.410156</v>
      </c>
      <c r="D1571" s="6">
        <v>12968.160156</v>
      </c>
      <c r="E1571" s="6">
        <v>13059.650390999999</v>
      </c>
      <c r="F1571" s="6">
        <v>13059.650390999999</v>
      </c>
      <c r="G1571" s="4">
        <v>4934000000</v>
      </c>
      <c r="H1571">
        <f t="shared" si="24"/>
        <v>-6.0370385941587541E-3</v>
      </c>
    </row>
    <row r="1572" spans="1:8" x14ac:dyDescent="0.3">
      <c r="A1572" s="5">
        <v>44285</v>
      </c>
      <c r="B1572" s="6">
        <v>13008.799805000001</v>
      </c>
      <c r="C1572" s="6">
        <v>13075.75</v>
      </c>
      <c r="D1572" s="6">
        <v>12922.570313</v>
      </c>
      <c r="E1572" s="6">
        <v>13045.389648</v>
      </c>
      <c r="F1572" s="6">
        <v>13045.389648</v>
      </c>
      <c r="G1572" s="4">
        <v>4685320000</v>
      </c>
      <c r="H1572">
        <f t="shared" si="24"/>
        <v>-1.0925663701172046E-3</v>
      </c>
    </row>
    <row r="1573" spans="1:8" x14ac:dyDescent="0.3">
      <c r="A1573" s="5">
        <v>44286</v>
      </c>
      <c r="B1573" s="6">
        <v>13122.570313</v>
      </c>
      <c r="C1573" s="6">
        <v>13325.540039</v>
      </c>
      <c r="D1573" s="6">
        <v>13118.379883</v>
      </c>
      <c r="E1573" s="6">
        <v>13246.870117</v>
      </c>
      <c r="F1573" s="6">
        <v>13246.870117</v>
      </c>
      <c r="G1573" s="4">
        <v>4980670000</v>
      </c>
      <c r="H1573">
        <f t="shared" si="24"/>
        <v>1.5326519272396226E-2</v>
      </c>
    </row>
    <row r="1574" spans="1:8" x14ac:dyDescent="0.3">
      <c r="A1574" s="5">
        <v>44287</v>
      </c>
      <c r="B1574" s="6">
        <v>13414.320313</v>
      </c>
      <c r="C1574" s="6">
        <v>13487.080078000001</v>
      </c>
      <c r="D1574" s="6">
        <v>13404.179688</v>
      </c>
      <c r="E1574" s="6">
        <v>13480.110352</v>
      </c>
      <c r="F1574" s="6">
        <v>13480.110352</v>
      </c>
      <c r="G1574" s="4">
        <v>4553470000</v>
      </c>
      <c r="H1574">
        <f t="shared" si="24"/>
        <v>1.7453984857243844E-2</v>
      </c>
    </row>
    <row r="1575" spans="1:8" x14ac:dyDescent="0.3">
      <c r="A1575" s="5">
        <v>44291</v>
      </c>
      <c r="B1575" s="6">
        <v>13594.900390999999</v>
      </c>
      <c r="C1575" s="6">
        <v>13720.580078000001</v>
      </c>
      <c r="D1575" s="6">
        <v>13582.759765999999</v>
      </c>
      <c r="E1575" s="6">
        <v>13705.589844</v>
      </c>
      <c r="F1575" s="6">
        <v>13705.589844</v>
      </c>
      <c r="G1575" s="4">
        <v>4439970000</v>
      </c>
      <c r="H1575">
        <f t="shared" si="24"/>
        <v>1.6588475626865221E-2</v>
      </c>
    </row>
    <row r="1576" spans="1:8" x14ac:dyDescent="0.3">
      <c r="A1576" s="5">
        <v>44292</v>
      </c>
      <c r="B1576" s="6">
        <v>13681.669921999999</v>
      </c>
      <c r="C1576" s="6">
        <v>13776.709961</v>
      </c>
      <c r="D1576" s="6">
        <v>13674.280273</v>
      </c>
      <c r="E1576" s="6">
        <v>13698.379883</v>
      </c>
      <c r="F1576" s="6">
        <v>13698.379883</v>
      </c>
      <c r="G1576" s="4">
        <v>4038510000</v>
      </c>
      <c r="H1576">
        <f t="shared" si="24"/>
        <v>-5.2619830179254838E-4</v>
      </c>
    </row>
    <row r="1577" spans="1:8" x14ac:dyDescent="0.3">
      <c r="A1577" s="5">
        <v>44293</v>
      </c>
      <c r="B1577" s="6">
        <v>13675.299805000001</v>
      </c>
      <c r="C1577" s="6">
        <v>13733.030273</v>
      </c>
      <c r="D1577" s="6">
        <v>13653.589844</v>
      </c>
      <c r="E1577" s="6">
        <v>13688.839844</v>
      </c>
      <c r="F1577" s="6">
        <v>13688.839844</v>
      </c>
      <c r="G1577" s="4">
        <v>4078990000</v>
      </c>
      <c r="H1577">
        <f t="shared" si="24"/>
        <v>-6.9667819376773401E-4</v>
      </c>
    </row>
    <row r="1578" spans="1:8" x14ac:dyDescent="0.3">
      <c r="A1578" s="5">
        <v>44294</v>
      </c>
      <c r="B1578" s="6">
        <v>13796.889648</v>
      </c>
      <c r="C1578" s="6">
        <v>13830.139648</v>
      </c>
      <c r="D1578" s="6">
        <v>13758.709961</v>
      </c>
      <c r="E1578" s="6">
        <v>13829.309569999999</v>
      </c>
      <c r="F1578" s="6">
        <v>13829.309569999999</v>
      </c>
      <c r="G1578" s="4">
        <v>4133640000</v>
      </c>
      <c r="H1578">
        <f t="shared" si="24"/>
        <v>1.0209330866424865E-2</v>
      </c>
    </row>
    <row r="1579" spans="1:8" x14ac:dyDescent="0.3">
      <c r="A1579" s="5">
        <v>44295</v>
      </c>
      <c r="B1579" s="6">
        <v>13787.019531</v>
      </c>
      <c r="C1579" s="6">
        <v>13905.410156</v>
      </c>
      <c r="D1579" s="6">
        <v>13748.349609000001</v>
      </c>
      <c r="E1579" s="6">
        <v>13900.190430000001</v>
      </c>
      <c r="F1579" s="6">
        <v>13900.190430000001</v>
      </c>
      <c r="G1579" s="4">
        <v>3906460000</v>
      </c>
      <c r="H1579">
        <f t="shared" si="24"/>
        <v>5.1123182442706595E-3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GameStop Share Price</vt:lpstr>
      <vt:lpstr>NASDAQ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Maitrya Anupam</cp:lastModifiedBy>
  <dcterms:created xsi:type="dcterms:W3CDTF">2021-04-13T05:06:47Z</dcterms:created>
  <dcterms:modified xsi:type="dcterms:W3CDTF">2024-09-23T13:17:22Z</dcterms:modified>
</cp:coreProperties>
</file>